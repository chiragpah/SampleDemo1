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teshr\Documents\"/>
    </mc:Choice>
  </mc:AlternateContent>
  <bookViews>
    <workbookView xWindow="0" yWindow="0" windowWidth="2175" windowHeight="0"/>
  </bookViews>
  <sheets>
    <sheet name="Sheet2" sheetId="2" r:id="rId1"/>
    <sheet name="Sheet3" sheetId="6" r:id="rId2"/>
    <sheet name="MinReport" sheetId="3" r:id="rId3"/>
    <sheet name="Sheet1" sheetId="5" r:id="rId4"/>
    <sheet name="TEMP" sheetId="4" r:id="rId5"/>
  </sheets>
  <functionGroups builtInGroupCount="18"/>
  <definedNames>
    <definedName name="XFD1048692">Sheet2!#REF!</definedName>
    <definedName name="XFD1049093">Sheet2!#REF!</definedName>
    <definedName name="XFD1049900">Sheet2!#REF!</definedName>
    <definedName name="XFD1059900">Sheet2!#REF!</definedName>
    <definedName name="XFD1089900">Sheet2!#REF!</definedName>
    <definedName name="XFD1090000">Sheet2!#REF!</definedName>
    <definedName name="XFD1099999">Sheet2!#REF!</definedName>
    <definedName name="XFD10999999">Sheet2!#REF!</definedName>
    <definedName name="XgB99">Sheet2!$XDB$102</definedName>
  </definedNames>
  <calcPr calcId="162913"/>
</workbook>
</file>

<file path=xl/calcChain.xml><?xml version="1.0" encoding="utf-8"?>
<calcChain xmlns="http://schemas.openxmlformats.org/spreadsheetml/2006/main">
  <c r="I33" i="2" l="1"/>
  <c r="I32" i="2" l="1"/>
  <c r="I35" i="2"/>
  <c r="I34" i="2"/>
  <c r="L2" i="6" l="1"/>
  <c r="L3" i="6"/>
  <c r="L4" i="6"/>
  <c r="L5" i="6"/>
  <c r="L6" i="6"/>
  <c r="L7" i="6"/>
  <c r="L8" i="6"/>
  <c r="L9" i="6"/>
  <c r="L10" i="6"/>
  <c r="L11" i="6"/>
  <c r="L12" i="6"/>
  <c r="L13" i="6"/>
  <c r="L14" i="6"/>
  <c r="O42" i="2" l="1"/>
  <c r="N42" i="2"/>
  <c r="P42" i="2" s="1"/>
  <c r="O41" i="2"/>
  <c r="N41" i="2"/>
  <c r="P41" i="2" s="1"/>
  <c r="O40" i="2"/>
  <c r="N40" i="2"/>
  <c r="P40" i="2" s="1"/>
  <c r="O39" i="2"/>
  <c r="N39" i="2"/>
  <c r="P39" i="2" s="1"/>
  <c r="O38" i="2"/>
  <c r="N38" i="2"/>
  <c r="P38" i="2" s="1"/>
  <c r="O37" i="2"/>
  <c r="N37" i="2"/>
  <c r="P37" i="2" s="1"/>
  <c r="O36" i="2"/>
  <c r="N36" i="2"/>
  <c r="P36" i="2" s="1"/>
  <c r="Q41" i="2"/>
  <c r="Q40" i="2"/>
  <c r="Q39" i="2"/>
  <c r="Q38" i="2"/>
  <c r="Q37" i="2"/>
  <c r="Q36" i="2"/>
  <c r="M19" i="2" l="1"/>
  <c r="M54" i="2" l="1"/>
  <c r="D24" i="5"/>
  <c r="I15" i="5"/>
  <c r="J15" i="5"/>
  <c r="K15" i="5"/>
  <c r="H15" i="5"/>
  <c r="L15" i="5" s="1"/>
  <c r="Y68" i="2"/>
  <c r="X68" i="2"/>
  <c r="A99" i="2" l="1"/>
  <c r="A102" i="2"/>
  <c r="A104" i="2"/>
  <c r="A106" i="2"/>
  <c r="A108" i="2"/>
  <c r="A110" i="2"/>
  <c r="A111" i="2"/>
  <c r="A112" i="2"/>
  <c r="A114" i="2"/>
  <c r="A115" i="2"/>
  <c r="A116" i="2"/>
  <c r="A118" i="2"/>
  <c r="A119" i="2"/>
  <c r="A120" i="2"/>
  <c r="A122" i="2"/>
  <c r="A124" i="2"/>
  <c r="A126" i="2"/>
  <c r="A127" i="2"/>
  <c r="A129" i="2"/>
  <c r="A131" i="2"/>
  <c r="A132" i="2"/>
  <c r="A133" i="2"/>
  <c r="A135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99" i="2"/>
  <c r="B101" i="2"/>
  <c r="B103" i="2"/>
  <c r="B105" i="2"/>
  <c r="B107" i="2"/>
  <c r="B109" i="2"/>
  <c r="B111" i="2"/>
  <c r="B113" i="2"/>
  <c r="B115" i="2"/>
  <c r="B117" i="2"/>
  <c r="B119" i="2"/>
  <c r="B121" i="2"/>
  <c r="B122" i="2"/>
  <c r="B124" i="2"/>
  <c r="B126" i="2"/>
  <c r="B128" i="2"/>
  <c r="B130" i="2"/>
  <c r="B132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L98" i="2"/>
  <c r="L100" i="2"/>
  <c r="L101" i="2"/>
  <c r="L102" i="2"/>
  <c r="L103" i="2"/>
  <c r="L104" i="2"/>
  <c r="L105" i="2"/>
  <c r="L106" i="2"/>
  <c r="L107" i="2"/>
  <c r="L108" i="2"/>
  <c r="L109" i="2"/>
  <c r="L110" i="2"/>
  <c r="L112" i="2"/>
  <c r="L113" i="2"/>
  <c r="L114" i="2"/>
  <c r="L116" i="2"/>
  <c r="L117" i="2"/>
  <c r="L118" i="2"/>
  <c r="L120" i="2"/>
  <c r="L121" i="2"/>
  <c r="L122" i="2"/>
  <c r="L123" i="2"/>
  <c r="L124" i="2"/>
  <c r="L125" i="2"/>
  <c r="L127" i="2"/>
  <c r="L128" i="2"/>
  <c r="L129" i="2"/>
  <c r="L130" i="2"/>
  <c r="L131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V98" i="2" l="1"/>
  <c r="V104" i="2"/>
  <c r="V105" i="2"/>
  <c r="V106" i="2"/>
  <c r="V108" i="2"/>
  <c r="V109" i="2"/>
  <c r="V110" i="2"/>
  <c r="V112" i="2"/>
  <c r="V113" i="2"/>
  <c r="V114" i="2"/>
  <c r="V116" i="2"/>
  <c r="V118" i="2"/>
  <c r="V120" i="2"/>
  <c r="V121" i="2"/>
  <c r="V122" i="2"/>
  <c r="V123" i="2"/>
  <c r="V124" i="2"/>
  <c r="V125" i="2"/>
  <c r="V127" i="2"/>
  <c r="V128" i="2"/>
  <c r="V129" i="2"/>
  <c r="V130" i="2"/>
  <c r="V131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J90" i="2" l="1"/>
  <c r="B86" i="2" s="1"/>
  <c r="J89" i="2"/>
  <c r="L89" i="2" s="1"/>
  <c r="J88" i="2"/>
  <c r="J87" i="2"/>
  <c r="L87" i="2" s="1"/>
  <c r="J86" i="2"/>
  <c r="B82" i="2" s="1"/>
  <c r="J85" i="2"/>
  <c r="A85" i="2" s="1"/>
  <c r="J84" i="2"/>
  <c r="J83" i="2"/>
  <c r="J82" i="2"/>
  <c r="J81" i="2"/>
  <c r="J80" i="2"/>
  <c r="J79" i="2"/>
  <c r="J78" i="2"/>
  <c r="J77" i="2"/>
  <c r="A77" i="2" s="1"/>
  <c r="J76" i="2"/>
  <c r="B72" i="2" s="1"/>
  <c r="J75" i="2"/>
  <c r="L75" i="2" s="1"/>
  <c r="J74" i="2"/>
  <c r="B70" i="2" s="1"/>
  <c r="J73" i="2"/>
  <c r="A73" i="2" s="1"/>
  <c r="J72" i="2"/>
  <c r="K72" i="2" s="1"/>
  <c r="J71" i="2"/>
  <c r="L71" i="2" s="1"/>
  <c r="J70" i="2"/>
  <c r="L70" i="2" s="1"/>
  <c r="J69" i="2"/>
  <c r="L69" i="2" s="1"/>
  <c r="K68" i="2"/>
  <c r="J68" i="2"/>
  <c r="U68" i="2"/>
  <c r="T69" i="2"/>
  <c r="T70" i="2"/>
  <c r="X70" i="2" s="1"/>
  <c r="T71" i="2"/>
  <c r="T72" i="2"/>
  <c r="V72" i="2" s="1"/>
  <c r="T73" i="2"/>
  <c r="V73" i="2" s="1"/>
  <c r="T74" i="2"/>
  <c r="X74" i="2" s="1"/>
  <c r="T75" i="2"/>
  <c r="Y75" i="2" s="1"/>
  <c r="T76" i="2"/>
  <c r="Y76" i="2" s="1"/>
  <c r="T77" i="2"/>
  <c r="Y77" i="2" s="1"/>
  <c r="T78" i="2"/>
  <c r="X78" i="2" s="1"/>
  <c r="T79" i="2"/>
  <c r="Y79" i="2" s="1"/>
  <c r="T80" i="2"/>
  <c r="V80" i="2" s="1"/>
  <c r="T81" i="2"/>
  <c r="Y81" i="2" s="1"/>
  <c r="T82" i="2"/>
  <c r="V82" i="2" s="1"/>
  <c r="T83" i="2"/>
  <c r="Y83" i="2" s="1"/>
  <c r="T84" i="2"/>
  <c r="V84" i="2" s="1"/>
  <c r="T85" i="2"/>
  <c r="Y85" i="2" s="1"/>
  <c r="T86" i="2"/>
  <c r="X86" i="2" s="1"/>
  <c r="T87" i="2"/>
  <c r="Y87" i="2" s="1"/>
  <c r="T88" i="2"/>
  <c r="X88" i="2" s="1"/>
  <c r="T89" i="2"/>
  <c r="T90" i="2"/>
  <c r="T91" i="2"/>
  <c r="Y91" i="2" s="1"/>
  <c r="T92" i="2"/>
  <c r="T93" i="2"/>
  <c r="Y93" i="2" s="1"/>
  <c r="T94" i="2"/>
  <c r="T95" i="2"/>
  <c r="T96" i="2"/>
  <c r="V96" i="2" s="1"/>
  <c r="U96" i="2"/>
  <c r="T97" i="2"/>
  <c r="T98" i="2"/>
  <c r="U98" i="2" s="1"/>
  <c r="T99" i="2"/>
  <c r="V99" i="2" s="1"/>
  <c r="U99" i="2"/>
  <c r="T100" i="2"/>
  <c r="T101" i="2"/>
  <c r="T102" i="2"/>
  <c r="T103" i="2"/>
  <c r="V103" i="2" s="1"/>
  <c r="U103" i="2"/>
  <c r="T104" i="2"/>
  <c r="U104" i="2" s="1"/>
  <c r="T105" i="2"/>
  <c r="U105" i="2" s="1"/>
  <c r="T106" i="2"/>
  <c r="U106" i="2" s="1"/>
  <c r="T107" i="2"/>
  <c r="T108" i="2"/>
  <c r="U108" i="2" s="1"/>
  <c r="T109" i="2"/>
  <c r="U109" i="2" s="1"/>
  <c r="T110" i="2"/>
  <c r="U110" i="2" s="1"/>
  <c r="T111" i="2"/>
  <c r="V111" i="2" s="1"/>
  <c r="U111" i="2"/>
  <c r="U107" i="2" l="1"/>
  <c r="V107" i="2"/>
  <c r="U101" i="2"/>
  <c r="V101" i="2"/>
  <c r="U102" i="2"/>
  <c r="V102" i="2"/>
  <c r="U100" i="2"/>
  <c r="V100" i="2"/>
  <c r="U97" i="2"/>
  <c r="V97" i="2"/>
  <c r="U69" i="2"/>
  <c r="V69" i="2"/>
  <c r="U95" i="2"/>
  <c r="V95" i="2"/>
  <c r="K69" i="2"/>
  <c r="A69" i="2"/>
  <c r="Y69" i="2"/>
  <c r="U71" i="2"/>
  <c r="V71" i="2"/>
  <c r="U90" i="2"/>
  <c r="V90" i="2"/>
  <c r="U89" i="2"/>
  <c r="V89" i="2"/>
  <c r="K80" i="2"/>
  <c r="B76" i="2"/>
  <c r="L79" i="2"/>
  <c r="A79" i="2"/>
  <c r="B85" i="2"/>
  <c r="A89" i="2"/>
  <c r="K88" i="2"/>
  <c r="B84" i="2"/>
  <c r="B83" i="2"/>
  <c r="A87" i="2"/>
  <c r="A84" i="2"/>
  <c r="B80" i="2"/>
  <c r="L83" i="2"/>
  <c r="A83" i="2"/>
  <c r="L82" i="2"/>
  <c r="B78" i="2"/>
  <c r="L78" i="2"/>
  <c r="B74" i="2"/>
  <c r="B71" i="2"/>
  <c r="A75" i="2"/>
  <c r="U93" i="2"/>
  <c r="V93" i="2"/>
  <c r="X90" i="2"/>
  <c r="X82" i="2"/>
  <c r="U94" i="2"/>
  <c r="V94" i="2"/>
  <c r="L81" i="2"/>
  <c r="A81" i="2"/>
  <c r="X93" i="2"/>
  <c r="U92" i="2"/>
  <c r="V92" i="2"/>
  <c r="X92" i="2"/>
  <c r="U91" i="2"/>
  <c r="V91" i="2"/>
  <c r="K71" i="2"/>
  <c r="A71" i="2"/>
  <c r="X72" i="2"/>
  <c r="Y71" i="2"/>
  <c r="U79" i="2"/>
  <c r="V79" i="2"/>
  <c r="U87" i="2"/>
  <c r="V87" i="2"/>
  <c r="X84" i="2"/>
  <c r="U81" i="2"/>
  <c r="V81" i="2"/>
  <c r="X80" i="2"/>
  <c r="X76" i="2"/>
  <c r="Y89" i="2"/>
  <c r="Y82" i="2"/>
  <c r="B73" i="2"/>
  <c r="L77" i="2"/>
  <c r="U77" i="2"/>
  <c r="V77" i="2"/>
  <c r="Y90" i="2"/>
  <c r="U70" i="2"/>
  <c r="V70" i="2"/>
  <c r="U75" i="2"/>
  <c r="V75" i="2"/>
  <c r="Y84" i="2"/>
  <c r="U84" i="2"/>
  <c r="A86" i="2"/>
  <c r="L86" i="2"/>
  <c r="B81" i="2"/>
  <c r="L85" i="2"/>
  <c r="U86" i="2"/>
  <c r="V86" i="2"/>
  <c r="U85" i="2"/>
  <c r="V85" i="2"/>
  <c r="A90" i="2"/>
  <c r="L90" i="2"/>
  <c r="L88" i="2"/>
  <c r="A88" i="2"/>
  <c r="U82" i="2"/>
  <c r="Y70" i="2"/>
  <c r="K87" i="2"/>
  <c r="K89" i="2"/>
  <c r="K90" i="2"/>
  <c r="K85" i="2"/>
  <c r="K86" i="2"/>
  <c r="K84" i="2"/>
  <c r="L84" i="2"/>
  <c r="L80" i="2"/>
  <c r="A80" i="2"/>
  <c r="A74" i="2"/>
  <c r="L74" i="2"/>
  <c r="B69" i="2"/>
  <c r="L73" i="2"/>
  <c r="U88" i="2"/>
  <c r="V88" i="2"/>
  <c r="Y86" i="2"/>
  <c r="U83" i="2"/>
  <c r="V83" i="2"/>
  <c r="Y80" i="2"/>
  <c r="U80" i="2"/>
  <c r="U78" i="2"/>
  <c r="V78" i="2"/>
  <c r="U74" i="2"/>
  <c r="V74" i="2"/>
  <c r="A76" i="2"/>
  <c r="L76" i="2"/>
  <c r="K78" i="2"/>
  <c r="A78" i="2"/>
  <c r="K81" i="2"/>
  <c r="B77" i="2"/>
  <c r="K83" i="2"/>
  <c r="B79" i="2"/>
  <c r="L72" i="2"/>
  <c r="A72" i="2"/>
  <c r="K79" i="2"/>
  <c r="B75" i="2"/>
  <c r="K82" i="2"/>
  <c r="A82" i="2"/>
  <c r="Y78" i="2"/>
  <c r="U76" i="2"/>
  <c r="V76" i="2"/>
  <c r="U73" i="2"/>
  <c r="X73" i="2"/>
  <c r="Y72" i="2"/>
  <c r="U72" i="2"/>
  <c r="K77" i="2"/>
  <c r="K75" i="2"/>
  <c r="K76" i="2"/>
  <c r="K73" i="2"/>
  <c r="K74" i="2"/>
  <c r="K70" i="2"/>
  <c r="A70" i="2"/>
  <c r="Y73" i="2"/>
  <c r="Y88" i="2"/>
  <c r="Y74" i="2"/>
  <c r="Y92" i="2"/>
  <c r="X91" i="2"/>
  <c r="X89" i="2"/>
  <c r="X87" i="2"/>
  <c r="X85" i="2"/>
  <c r="X83" i="2"/>
  <c r="X81" i="2"/>
  <c r="X79" i="2"/>
  <c r="X77" i="2"/>
  <c r="X75" i="2"/>
  <c r="X71" i="2"/>
  <c r="X69" i="2"/>
  <c r="R62" i="2"/>
  <c r="M10" i="2" l="1"/>
  <c r="Y103" i="2" l="1"/>
  <c r="Y104" i="2"/>
  <c r="Y109" i="2"/>
  <c r="Y111" i="2"/>
  <c r="Y115" i="2"/>
  <c r="Y116" i="2"/>
  <c r="Y118" i="2"/>
  <c r="Y120" i="2"/>
  <c r="Y122" i="2"/>
  <c r="Y124" i="2"/>
  <c r="Y126" i="2"/>
  <c r="Y127" i="2"/>
  <c r="Y129" i="2"/>
  <c r="Y132" i="2"/>
  <c r="Y133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X108" i="2"/>
  <c r="X110" i="2"/>
  <c r="X119" i="2"/>
  <c r="X121" i="2"/>
  <c r="X123" i="2"/>
  <c r="X125" i="2"/>
  <c r="X132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M28" i="2" l="1"/>
  <c r="M31" i="2"/>
  <c r="U132" i="2" l="1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X94" i="2"/>
  <c r="X96" i="2"/>
  <c r="Y97" i="2"/>
  <c r="X98" i="2"/>
  <c r="Y99" i="2"/>
  <c r="X100" i="2"/>
  <c r="X102" i="2"/>
  <c r="Y108" i="2"/>
  <c r="Y110" i="2"/>
  <c r="T112" i="2"/>
  <c r="X112" i="2" s="1"/>
  <c r="T113" i="2"/>
  <c r="Y113" i="2" s="1"/>
  <c r="T114" i="2"/>
  <c r="T115" i="2"/>
  <c r="V115" i="2" s="1"/>
  <c r="T116" i="2"/>
  <c r="X116" i="2" s="1"/>
  <c r="T117" i="2"/>
  <c r="V117" i="2" s="1"/>
  <c r="T118" i="2"/>
  <c r="X118" i="2" s="1"/>
  <c r="T119" i="2"/>
  <c r="U119" i="2" s="1"/>
  <c r="T120" i="2"/>
  <c r="X120" i="2" s="1"/>
  <c r="T121" i="2"/>
  <c r="Y121" i="2" s="1"/>
  <c r="T122" i="2"/>
  <c r="X122" i="2" s="1"/>
  <c r="T123" i="2"/>
  <c r="Y123" i="2" s="1"/>
  <c r="T124" i="2"/>
  <c r="X124" i="2" s="1"/>
  <c r="T125" i="2"/>
  <c r="Y125" i="2" s="1"/>
  <c r="T126" i="2"/>
  <c r="T127" i="2"/>
  <c r="X127" i="2" s="1"/>
  <c r="T128" i="2"/>
  <c r="T129" i="2"/>
  <c r="X129" i="2" s="1"/>
  <c r="T130" i="2"/>
  <c r="T131" i="2"/>
  <c r="T132" i="2"/>
  <c r="V132" i="2" s="1"/>
  <c r="T133" i="2"/>
  <c r="X133" i="2" s="1"/>
  <c r="T134" i="2"/>
  <c r="Y134" i="2" s="1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J91" i="2"/>
  <c r="A91" i="2" s="1"/>
  <c r="J92" i="2"/>
  <c r="L92" i="2" s="1"/>
  <c r="J93" i="2"/>
  <c r="L93" i="2" s="1"/>
  <c r="J94" i="2"/>
  <c r="L94" i="2" s="1"/>
  <c r="J95" i="2"/>
  <c r="A95" i="2" s="1"/>
  <c r="J96" i="2"/>
  <c r="A96" i="2" s="1"/>
  <c r="J97" i="2"/>
  <c r="L97" i="2" s="1"/>
  <c r="J98" i="2"/>
  <c r="J99" i="2"/>
  <c r="J100" i="2"/>
  <c r="J101" i="2"/>
  <c r="J102" i="2"/>
  <c r="B98" i="2" s="1"/>
  <c r="J103" i="2"/>
  <c r="A103" i="2" s="1"/>
  <c r="J104" i="2"/>
  <c r="B100" i="2" s="1"/>
  <c r="J105" i="2"/>
  <c r="A105" i="2" s="1"/>
  <c r="J106" i="2"/>
  <c r="B102" i="2" s="1"/>
  <c r="J107" i="2"/>
  <c r="A107" i="2" s="1"/>
  <c r="J108" i="2"/>
  <c r="B104" i="2" s="1"/>
  <c r="J109" i="2"/>
  <c r="A109" i="2" s="1"/>
  <c r="J110" i="2"/>
  <c r="B106" i="2" s="1"/>
  <c r="J111" i="2"/>
  <c r="L111" i="2" s="1"/>
  <c r="J112" i="2"/>
  <c r="B108" i="2" s="1"/>
  <c r="J113" i="2"/>
  <c r="A113" i="2" s="1"/>
  <c r="J114" i="2"/>
  <c r="B110" i="2" s="1"/>
  <c r="J115" i="2"/>
  <c r="L115" i="2" s="1"/>
  <c r="J116" i="2"/>
  <c r="B112" i="2" s="1"/>
  <c r="J117" i="2"/>
  <c r="A117" i="2" s="1"/>
  <c r="J118" i="2"/>
  <c r="B114" i="2" s="1"/>
  <c r="J119" i="2"/>
  <c r="L119" i="2" s="1"/>
  <c r="J120" i="2"/>
  <c r="B116" i="2" s="1"/>
  <c r="J121" i="2"/>
  <c r="A121" i="2" s="1"/>
  <c r="J122" i="2"/>
  <c r="B118" i="2" s="1"/>
  <c r="J123" i="2"/>
  <c r="A123" i="2" s="1"/>
  <c r="J124" i="2"/>
  <c r="B120" i="2" s="1"/>
  <c r="J125" i="2"/>
  <c r="A125" i="2" s="1"/>
  <c r="J126" i="2"/>
  <c r="L126" i="2" s="1"/>
  <c r="J127" i="2"/>
  <c r="B123" i="2" s="1"/>
  <c r="J128" i="2"/>
  <c r="A128" i="2" s="1"/>
  <c r="J129" i="2"/>
  <c r="B125" i="2" s="1"/>
  <c r="J130" i="2"/>
  <c r="A130" i="2" s="1"/>
  <c r="J131" i="2"/>
  <c r="B127" i="2" s="1"/>
  <c r="J132" i="2"/>
  <c r="L132" i="2" s="1"/>
  <c r="J133" i="2"/>
  <c r="B129" i="2" s="1"/>
  <c r="J134" i="2"/>
  <c r="A134" i="2" s="1"/>
  <c r="J135" i="2"/>
  <c r="B131" i="2" s="1"/>
  <c r="J136" i="2"/>
  <c r="A136" i="2" s="1"/>
  <c r="J137" i="2"/>
  <c r="B133" i="2" s="1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K104" i="2"/>
  <c r="K106" i="2"/>
  <c r="K107" i="2"/>
  <c r="K108" i="2"/>
  <c r="K109" i="2"/>
  <c r="K110" i="2"/>
  <c r="K111" i="2"/>
  <c r="K112" i="2"/>
  <c r="K113" i="2"/>
  <c r="K114" i="2"/>
  <c r="K115" i="2"/>
  <c r="K116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V119" i="2" l="1"/>
  <c r="Y119" i="2"/>
  <c r="A101" i="2"/>
  <c r="B97" i="2"/>
  <c r="B96" i="2"/>
  <c r="A100" i="2"/>
  <c r="L99" i="2"/>
  <c r="B95" i="2"/>
  <c r="B94" i="2"/>
  <c r="A98" i="2"/>
  <c r="K117" i="2"/>
  <c r="U133" i="2"/>
  <c r="Y131" i="2"/>
  <c r="X131" i="2"/>
  <c r="X130" i="2"/>
  <c r="Y130" i="2"/>
  <c r="U129" i="2"/>
  <c r="U134" i="2"/>
  <c r="U127" i="2"/>
  <c r="X126" i="2"/>
  <c r="V126" i="2"/>
  <c r="U125" i="2"/>
  <c r="U121" i="2"/>
  <c r="U118" i="2"/>
  <c r="X117" i="2"/>
  <c r="Y117" i="2"/>
  <c r="Y114" i="2"/>
  <c r="X114" i="2"/>
  <c r="X128" i="2"/>
  <c r="Y128" i="2"/>
  <c r="B93" i="2"/>
  <c r="A97" i="2"/>
  <c r="L96" i="2"/>
  <c r="B92" i="2"/>
  <c r="B91" i="2"/>
  <c r="L95" i="2"/>
  <c r="A94" i="2"/>
  <c r="B90" i="2"/>
  <c r="B89" i="2"/>
  <c r="A93" i="2"/>
  <c r="A92" i="2"/>
  <c r="B88" i="2"/>
  <c r="B87" i="2"/>
  <c r="L91" i="2"/>
  <c r="X107" i="2"/>
  <c r="Y107" i="2"/>
  <c r="Y106" i="2"/>
  <c r="X106" i="2"/>
  <c r="X105" i="2"/>
  <c r="Y105" i="2"/>
  <c r="X104" i="2"/>
  <c r="X103" i="2"/>
  <c r="U130" i="2"/>
  <c r="U128" i="2"/>
  <c r="U126" i="2"/>
  <c r="U124" i="2"/>
  <c r="U122" i="2"/>
  <c r="U123" i="2"/>
  <c r="U120" i="2"/>
  <c r="U117" i="2"/>
  <c r="U116" i="2"/>
  <c r="U115" i="2"/>
  <c r="X115" i="2"/>
  <c r="U114" i="2"/>
  <c r="U113" i="2"/>
  <c r="X113" i="2"/>
  <c r="U112" i="2"/>
  <c r="Y112" i="2"/>
  <c r="X111" i="2"/>
  <c r="U131" i="2"/>
  <c r="X109" i="2"/>
  <c r="Y102" i="2"/>
  <c r="X99" i="2"/>
  <c r="X97" i="2"/>
  <c r="X101" i="2"/>
  <c r="Y101" i="2"/>
  <c r="X95" i="2"/>
  <c r="Y95" i="2"/>
  <c r="Y100" i="2"/>
  <c r="Y98" i="2"/>
  <c r="Y94" i="2"/>
  <c r="Y96" i="2"/>
  <c r="K105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B167" i="2"/>
  <c r="U67" i="2" l="1"/>
  <c r="B67" i="2"/>
  <c r="A67" i="2"/>
  <c r="L67" i="2"/>
  <c r="G5" i="2"/>
  <c r="O5" i="2" l="1"/>
  <c r="Q5" i="2" s="1"/>
  <c r="N5" i="2"/>
  <c r="P5" i="2" s="1"/>
  <c r="F5" i="2"/>
  <c r="G37" i="2"/>
  <c r="G38" i="2"/>
  <c r="G41" i="2"/>
  <c r="G42" i="2"/>
  <c r="G6" i="2"/>
  <c r="G7" i="2"/>
  <c r="O7" i="2" s="1"/>
  <c r="Q7" i="2" s="1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O35" i="2" l="1"/>
  <c r="Q35" i="2" s="1"/>
  <c r="N35" i="2"/>
  <c r="P35" i="2" s="1"/>
  <c r="O34" i="2"/>
  <c r="Q34" i="2" s="1"/>
  <c r="N34" i="2"/>
  <c r="P34" i="2" s="1"/>
  <c r="O33" i="2"/>
  <c r="Q33" i="2" s="1"/>
  <c r="N33" i="2"/>
  <c r="P33" i="2" s="1"/>
  <c r="O32" i="2"/>
  <c r="Q32" i="2" s="1"/>
  <c r="O31" i="2"/>
  <c r="Q31" i="2" s="1"/>
  <c r="N31" i="2"/>
  <c r="P31" i="2" s="1"/>
  <c r="O30" i="2"/>
  <c r="Q30" i="2" s="1"/>
  <c r="O29" i="2"/>
  <c r="Q29" i="2" s="1"/>
  <c r="N29" i="2"/>
  <c r="P29" i="2" s="1"/>
  <c r="O28" i="2"/>
  <c r="Q28" i="2" s="1"/>
  <c r="O27" i="2"/>
  <c r="Q27" i="2" s="1"/>
  <c r="N27" i="2"/>
  <c r="P27" i="2" s="1"/>
  <c r="O26" i="2"/>
  <c r="Q26" i="2" s="1"/>
  <c r="N26" i="2"/>
  <c r="P26" i="2" s="1"/>
  <c r="O25" i="2"/>
  <c r="Q25" i="2" s="1"/>
  <c r="O24" i="2"/>
  <c r="Q24" i="2" s="1"/>
  <c r="N24" i="2"/>
  <c r="P24" i="2" s="1"/>
  <c r="O23" i="2"/>
  <c r="Q23" i="2" s="1"/>
  <c r="N22" i="2"/>
  <c r="P22" i="2" s="1"/>
  <c r="O22" i="2"/>
  <c r="Q22" i="2" s="1"/>
  <c r="O21" i="2"/>
  <c r="Q21" i="2" s="1"/>
  <c r="N20" i="2"/>
  <c r="P20" i="2" s="1"/>
  <c r="O20" i="2"/>
  <c r="Q20" i="2" s="1"/>
  <c r="O19" i="2"/>
  <c r="Q19" i="2" s="1"/>
  <c r="N19" i="2"/>
  <c r="P19" i="2" s="1"/>
  <c r="O18" i="2"/>
  <c r="Q18" i="2" s="1"/>
  <c r="O17" i="2"/>
  <c r="Q17" i="2" s="1"/>
  <c r="N17" i="2"/>
  <c r="P17" i="2" s="1"/>
  <c r="O16" i="2"/>
  <c r="Q16" i="2" s="1"/>
  <c r="N15" i="2"/>
  <c r="P15" i="2" s="1"/>
  <c r="O15" i="2"/>
  <c r="Q15" i="2" s="1"/>
  <c r="O14" i="2"/>
  <c r="Q14" i="2" s="1"/>
  <c r="P2" i="2" s="1"/>
  <c r="O13" i="2"/>
  <c r="Q13" i="2" s="1"/>
  <c r="N13" i="2"/>
  <c r="P13" i="2" s="1"/>
  <c r="O12" i="2"/>
  <c r="Q12" i="2" s="1"/>
  <c r="N12" i="2"/>
  <c r="P12" i="2" s="1"/>
  <c r="O11" i="2"/>
  <c r="Q11" i="2" s="1"/>
  <c r="O10" i="2"/>
  <c r="Q10" i="2" s="1"/>
  <c r="N10" i="2"/>
  <c r="P10" i="2" s="1"/>
  <c r="O9" i="2"/>
  <c r="Q9" i="2" s="1"/>
  <c r="O8" i="2"/>
  <c r="Q8" i="2" s="1"/>
  <c r="N8" i="2"/>
  <c r="P8" i="2" s="1"/>
  <c r="O6" i="2"/>
  <c r="Q6" i="2" s="1"/>
  <c r="N6" i="2"/>
  <c r="P6" i="2" s="1"/>
  <c r="F41" i="2"/>
  <c r="F37" i="2"/>
  <c r="F42" i="2"/>
  <c r="F38" i="2"/>
  <c r="F8" i="2"/>
  <c r="F22" i="2"/>
  <c r="F15" i="2"/>
  <c r="F35" i="2"/>
  <c r="F34" i="2"/>
  <c r="F33" i="2"/>
  <c r="F32" i="2"/>
  <c r="F31" i="2"/>
  <c r="F30" i="2"/>
  <c r="F29" i="2"/>
  <c r="F28" i="2"/>
  <c r="F27" i="2"/>
  <c r="F25" i="2"/>
  <c r="F24" i="2"/>
  <c r="F23" i="2"/>
  <c r="F21" i="2"/>
  <c r="F20" i="2"/>
  <c r="F18" i="2"/>
  <c r="F17" i="2"/>
  <c r="F16" i="2"/>
  <c r="F14" i="2"/>
  <c r="F13" i="2"/>
  <c r="F11" i="2"/>
  <c r="F10" i="2"/>
  <c r="F9" i="2"/>
  <c r="F7" i="2"/>
  <c r="F26" i="2"/>
  <c r="F19" i="2"/>
  <c r="F12" i="2"/>
  <c r="F6" i="2"/>
  <c r="M42" i="2"/>
  <c r="M41" i="2"/>
  <c r="M38" i="2"/>
  <c r="M37" i="2"/>
  <c r="M35" i="2"/>
  <c r="M34" i="2"/>
  <c r="M33" i="2"/>
  <c r="M32" i="2"/>
  <c r="M30" i="2"/>
  <c r="M27" i="2"/>
  <c r="M26" i="2"/>
  <c r="M25" i="2"/>
  <c r="M24" i="2"/>
  <c r="M23" i="2"/>
  <c r="M22" i="2"/>
  <c r="M21" i="2"/>
  <c r="M20" i="2"/>
  <c r="N30" i="2" l="1"/>
  <c r="P30" i="2" s="1"/>
  <c r="N32" i="2"/>
  <c r="P32" i="2" s="1"/>
  <c r="N21" i="2"/>
  <c r="P21" i="2" s="1"/>
  <c r="K67" i="2"/>
  <c r="M18" i="2"/>
  <c r="N18" i="2" s="1"/>
  <c r="P18" i="2" s="1"/>
  <c r="M16" i="2"/>
  <c r="M15" i="2"/>
  <c r="M12" i="2"/>
  <c r="M11" i="2"/>
  <c r="M9" i="2"/>
  <c r="M8" i="2"/>
  <c r="M7" i="2"/>
  <c r="M6" i="2"/>
  <c r="M5" i="2"/>
  <c r="Y67" i="2" l="1"/>
  <c r="V67" i="2"/>
  <c r="X67" i="2"/>
  <c r="H55" i="2"/>
  <c r="J55" i="2" s="1"/>
  <c r="M14" i="2"/>
  <c r="M13" i="2"/>
  <c r="B169" i="2"/>
  <c r="N9" i="2" l="1"/>
  <c r="P9" i="2" s="1"/>
  <c r="N7" i="2"/>
  <c r="P7" i="2" s="1"/>
  <c r="M55" i="2"/>
  <c r="B2" i="3"/>
  <c r="D2" i="3" l="1"/>
  <c r="M29" i="2" l="1"/>
  <c r="N23" i="2" s="1"/>
  <c r="P23" i="2" s="1"/>
  <c r="N28" i="2" l="1"/>
  <c r="P28" i="2" s="1"/>
  <c r="N25" i="2"/>
  <c r="P25" i="2" s="1"/>
  <c r="R2" i="2"/>
  <c r="M17" i="2"/>
  <c r="N16" i="2" s="1"/>
  <c r="P16" i="2" s="1"/>
  <c r="N14" i="2" l="1"/>
  <c r="P14" i="2" s="1"/>
  <c r="N11" i="2"/>
  <c r="P11" i="2" s="1"/>
  <c r="M44" i="2"/>
  <c r="I48" i="2" s="1"/>
  <c r="M43" i="2"/>
  <c r="L53" i="2" l="1"/>
  <c r="H53" i="2"/>
  <c r="I53" i="2" s="1"/>
  <c r="H57" i="2"/>
  <c r="J57" i="2" s="1"/>
  <c r="K57" i="2" s="1"/>
  <c r="I57" i="2"/>
  <c r="J58" i="2"/>
  <c r="M58" i="2"/>
</calcChain>
</file>

<file path=xl/comments1.xml><?xml version="1.0" encoding="utf-8"?>
<comments xmlns="http://schemas.openxmlformats.org/spreadsheetml/2006/main">
  <authors>
    <author>Kumar Kundan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No user entry required in the updated version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H55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=LOOKUP(2,1/(J5:J18&lt;&gt;""),J5:J18)</t>
        </r>
      </text>
    </comment>
    <comment ref="C6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6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 custom &gt; [h]:mm</t>
        </r>
      </text>
    </comment>
    <comment ref="A175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Please do not change text.
Please do not edit this section as this is being used in VBA</t>
        </r>
      </text>
    </comment>
    <comment ref="A176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80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80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Building Main Gate Exit
</t>
        </r>
      </text>
    </comment>
    <comment ref="A181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81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CT2 Basement Door
CT2 Flap Barrier near the Reception
CT2 Parking Tripode near the ATM
CT2 Terrace Tripod 1 Near Main Lift</t>
        </r>
      </text>
    </comment>
    <comment ref="A182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82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Training Room Near Canteen
</t>
        </r>
        <r>
          <rPr>
            <i/>
            <sz val="9"/>
            <color indexed="81"/>
            <rFont val="Tahoma"/>
            <family val="2"/>
          </rPr>
          <t>CT1 7th Floor Main Entrance</t>
        </r>
        <r>
          <rPr>
            <sz val="9"/>
            <color indexed="81"/>
            <rFont val="Tahoma"/>
            <family val="2"/>
          </rPr>
          <t xml:space="preserve">
CT2 1st Floor Right Door
CT2 2nd Floor Right Door
CT2 Building 4th Floor Right Entry
CT2 Building 4th Floor Left Entry</t>
        </r>
      </text>
    </comment>
  </commentList>
</comments>
</file>

<file path=xl/comments2.xml><?xml version="1.0" encoding="utf-8"?>
<comments xmlns="http://schemas.openxmlformats.org/spreadsheetml/2006/main">
  <authors>
    <author>Kumar Kundan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26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4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4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4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6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6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6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90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90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G111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D112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E112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</commentList>
</comments>
</file>

<file path=xl/sharedStrings.xml><?xml version="1.0" encoding="utf-8"?>
<sst xmlns="http://schemas.openxmlformats.org/spreadsheetml/2006/main" count="204" uniqueCount="120">
  <si>
    <t>Main Gate</t>
  </si>
  <si>
    <t>logRowNumFront</t>
  </si>
  <si>
    <t>logRowNumBU</t>
  </si>
  <si>
    <t>logColNum</t>
  </si>
  <si>
    <t>empID</t>
  </si>
  <si>
    <t>misPath</t>
  </si>
  <si>
    <t>Basement Door,Flap Barrier,Tripod</t>
  </si>
  <si>
    <t>EnterWorkGate</t>
  </si>
  <si>
    <t>swipeRowNum</t>
  </si>
  <si>
    <t>swipeColNum_yesterday</t>
  </si>
  <si>
    <t>swipeColNum_today</t>
  </si>
  <si>
    <t>User Entry</t>
  </si>
  <si>
    <t>Fixed</t>
  </si>
  <si>
    <t>Coming from VBA</t>
  </si>
  <si>
    <t>Formula</t>
  </si>
  <si>
    <t>Being Used in VBA</t>
  </si>
  <si>
    <t>EMP ID</t>
  </si>
  <si>
    <t>Date</t>
  </si>
  <si>
    <t>Day</t>
  </si>
  <si>
    <t>Total Hrs.</t>
  </si>
  <si>
    <t>Actual Hours</t>
  </si>
  <si>
    <t>COLOR CODEs Used in this XLS</t>
  </si>
  <si>
    <t>Working Hrs / day</t>
  </si>
  <si>
    <t>Total Fortnight Hours</t>
  </si>
  <si>
    <t>Remaining Hours</t>
  </si>
  <si>
    <t xml:space="preserve">EOD @ </t>
  </si>
  <si>
    <t>Before Today</t>
  </si>
  <si>
    <t>REPORT</t>
  </si>
  <si>
    <t>Hours</t>
  </si>
  <si>
    <t>Days</t>
  </si>
  <si>
    <t>TODAY</t>
  </si>
  <si>
    <t>@</t>
  </si>
  <si>
    <t>TOTAL Hours</t>
  </si>
  <si>
    <t>Being Used in Formulas, as constants</t>
  </si>
  <si>
    <t>Settings Variables - Start</t>
  </si>
  <si>
    <t>Settings Variables - End</t>
  </si>
  <si>
    <t>enterMainGate</t>
  </si>
  <si>
    <t>enterPlayGate</t>
  </si>
  <si>
    <t>Swipe - YesterDay</t>
  </si>
  <si>
    <t>Swipe - Today</t>
  </si>
  <si>
    <t>reportPage</t>
  </si>
  <si>
    <t>Password: kk</t>
  </si>
  <si>
    <t>EOD @</t>
  </si>
  <si>
    <t>Left,Right,Fire Exit,Training, 7th Floor Main Entrance</t>
  </si>
  <si>
    <t>PLAY</t>
  </si>
  <si>
    <t>WORK</t>
  </si>
  <si>
    <t>Monthly</t>
  </si>
  <si>
    <t>Total Month Days</t>
  </si>
  <si>
    <t>Leave/Holiday Hours</t>
  </si>
  <si>
    <t>Hours Should be:</t>
  </si>
  <si>
    <t>IN</t>
  </si>
  <si>
    <t>OUT</t>
  </si>
  <si>
    <t xml:space="preserve">    </t>
  </si>
  <si>
    <t xml:space="preserve">EOM @ </t>
  </si>
  <si>
    <t>Total Week Hours</t>
  </si>
  <si>
    <t>Total WFO</t>
  </si>
  <si>
    <t>Today WFH</t>
  </si>
  <si>
    <t>Total Hours</t>
  </si>
  <si>
    <t>Remaining Hrs of 24hrs</t>
  </si>
  <si>
    <t>Remaining Hrs of 40 Hrs</t>
  </si>
  <si>
    <t>Expected Hours to spend in office =&gt; Input</t>
  </si>
  <si>
    <t xml:space="preserve">Time to leave from office =&gt; </t>
  </si>
  <si>
    <t>Actual WF
Office</t>
  </si>
  <si>
    <t>Actual WF
Home</t>
  </si>
  <si>
    <t>&lt;= Input</t>
  </si>
  <si>
    <t>https://cybagemis.cybage.com/Framework/Iframe.aspx</t>
  </si>
  <si>
    <t>https://cybagemis.cybage.com/Report%20Builder/RPTN/Reportpage.aspx</t>
  </si>
  <si>
    <t>{Id:7902,Name:"FORD",Salary:3000,Department:"Research"}</t>
  </si>
  <si>
    <t>{Id:7934,Name:"MILLER",Salary:1300,Department:"Operations"}</t>
  </si>
  <si>
    <t>{Id:7900,Name:"JAMES",Salary:950,Department:"Sales"}</t>
  </si>
  <si>
    <t>{Id:7876,Name:"ADAMS",Salary:1100,Department:"Research"}</t>
  </si>
  <si>
    <t>{Id:7844,Name:"TURNER",Salary:1500,Department:"Sales"}</t>
  </si>
  <si>
    <t>{Id:7839,Name:"KING",Salary:5000,Department:"Accounting"}</t>
  </si>
  <si>
    <t>{Id:7788,Name:"SCOTT",Salary:3000,Department:"Research"}</t>
  </si>
  <si>
    <t>{Id:7782,Name:"CLARK",Salary:2450,Department:"Accounting"}</t>
  </si>
  <si>
    <t>{Id:7698,Name:"BLAKE",Salary:2850,Department:"Sales"}</t>
  </si>
  <si>
    <t>{Id:7566,Name:"JONES",Salary:2975,Department:"Research"}</t>
  </si>
  <si>
    <t>{Id:7521,Name:"WARD",Salary:1250,Department:"Operations"}</t>
  </si>
  <si>
    <t>{Id:7499,Name:"ALLEN",Salary:1600,Department:"Accounting"}</t>
  </si>
  <si>
    <t>{Id:7369,Name:"SMITH",Salary:800,Department:"Research"}</t>
  </si>
  <si>
    <t>Sales</t>
  </si>
  <si>
    <t>MARTIN</t>
  </si>
  <si>
    <t>:</t>
  </si>
  <si>
    <t>Research</t>
  </si>
  <si>
    <t>FORD</t>
  </si>
  <si>
    <t>}</t>
  </si>
  <si>
    <t>,</t>
  </si>
  <si>
    <t>"</t>
  </si>
  <si>
    <t>{</t>
  </si>
  <si>
    <t>Operations</t>
  </si>
  <si>
    <t>MILLER</t>
  </si>
  <si>
    <t>JAMES</t>
  </si>
  <si>
    <t>ADAMS</t>
  </si>
  <si>
    <t>Department</t>
  </si>
  <si>
    <t>Salary</t>
  </si>
  <si>
    <t>Name</t>
  </si>
  <si>
    <t>Id</t>
  </si>
  <si>
    <t>TURNER</t>
  </si>
  <si>
    <t>Accounting</t>
  </si>
  <si>
    <t>KING</t>
  </si>
  <si>
    <t>SCOTT</t>
  </si>
  <si>
    <t>CLARK</t>
  </si>
  <si>
    <t>Boston</t>
  </si>
  <si>
    <t>BLAKE</t>
  </si>
  <si>
    <t>Chicago</t>
  </si>
  <si>
    <t>JONES</t>
  </si>
  <si>
    <t>Dallas</t>
  </si>
  <si>
    <t>WARD</t>
  </si>
  <si>
    <t>New York</t>
  </si>
  <si>
    <t>ALLEN</t>
  </si>
  <si>
    <t>SMITH</t>
  </si>
  <si>
    <t>CT1 Flap Barrier near the Reception</t>
  </si>
  <si>
    <t>Entry</t>
  </si>
  <si>
    <t>CT1 2nd Floor Left Door</t>
  </si>
  <si>
    <t>PlayGate</t>
  </si>
  <si>
    <t>WorkGate</t>
  </si>
  <si>
    <t>Exit</t>
  </si>
  <si>
    <t>CT1 2nd Floor Right Door</t>
  </si>
  <si>
    <t>CT1 Cafetaria Tripode near the ATM</t>
  </si>
  <si>
    <t>CT1-1st Floor Right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</si>
</sst>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[h]:mm"/>
    <numFmt numFmtId="165" formatCode="dddd"/>
    <numFmt numFmtId="166" formatCode="[$-F400]h:mm:ss\ AM/PM"/>
    <numFmt numFmtId="167" formatCode="dd\-mmm\-yy"/>
    <numFmt numFmtId="168" formatCode="[h]:mm:ss;@"/>
    <numFmt numFmtId="169" formatCode="[$-409]h:mm\ AM/PM;@"/>
    <numFmt numFmtId="170" formatCode="[$-409]hh:mm:ss\ AM/PM;@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i/>
      <sz val="9"/>
      <color indexed="81"/>
      <name val="Tahoma"/>
      <family val="2"/>
    </font>
    <font>
      <strike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48"/>
      <color rgb="FFFF0000"/>
      <name val="Wide Latin"/>
      <family val="1"/>
    </font>
    <font>
      <b/>
      <sz val="11"/>
      <color theme="0" tint="-0.34998626667073579"/>
      <name val="Calibri"/>
      <family val="2"/>
      <scheme val="minor"/>
    </font>
    <font>
      <b/>
      <sz val="36"/>
      <color rgb="FFFF0000"/>
      <name val="Wide Latin"/>
      <family val="1"/>
    </font>
    <font>
      <sz val="11"/>
      <color theme="3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9"/>
      <color theme="3" tint="-0.499984740745262"/>
      <name val="Calibri"/>
      <family val="2"/>
      <scheme val="minor"/>
    </font>
    <font>
      <sz val="11"/>
      <color rgb="FF3E4D1F"/>
      <name val="Calibri"/>
      <family val="2"/>
      <scheme val="minor"/>
    </font>
    <font>
      <b/>
      <sz val="11"/>
      <color rgb="FF3E4D1F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3" tint="-0.499984740745262"/>
      <name val="Calibri"/>
      <family val="2"/>
      <scheme val="minor"/>
    </font>
    <font>
      <sz val="10"/>
      <color rgb="FF000000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rgb="FFFF0000"/>
      <name val="Calibri"/>
      <family val="2"/>
      <scheme val="minor"/>
    </font>
    <font>
      <sz val="12"/>
      <color rgb="FF000000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rgb="FFFF0000"/>
      </bottom>
      <diagonal/>
    </border>
    <border>
      <left/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rgb="FFFF0000"/>
      </right>
      <top style="thin">
        <color indexed="64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/>
      <right style="double">
        <color rgb="FFFF0000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rgb="FFFF0000"/>
      </bottom>
      <diagonal/>
    </border>
    <border>
      <left/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FF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rgb="FFFF0000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68">
    <xf numFmtId="0" fontId="0" fillId="0" borderId="0" xfId="0"/>
    <xf numFmtId="15" fontId="0" fillId="0" borderId="0" xfId="0" applyNumberFormat="1"/>
    <xf numFmtId="19" fontId="0" fillId="0" borderId="0" xfId="0" applyNumberFormat="1"/>
    <xf numFmtId="0" fontId="0" fillId="0" borderId="0" xfId="0" applyAlignment="1">
      <alignment horizontal="right"/>
    </xf>
    <xf numFmtId="0" fontId="6" fillId="2" borderId="3" xfId="0" applyFont="1" applyFill="1" applyBorder="1"/>
    <xf numFmtId="0" fontId="6" fillId="2" borderId="7" xfId="0" applyFont="1" applyFill="1" applyBorder="1" applyAlignment="1">
      <alignment horizontal="right"/>
    </xf>
    <xf numFmtId="0" fontId="6" fillId="2" borderId="9" xfId="0" applyFont="1" applyFill="1" applyBorder="1" applyAlignment="1">
      <alignment horizontal="right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8" xfId="0" applyBorder="1"/>
    <xf numFmtId="0" fontId="0" fillId="0" borderId="11" xfId="0" applyBorder="1"/>
    <xf numFmtId="164" fontId="6" fillId="5" borderId="4" xfId="0" applyNumberFormat="1" applyFont="1" applyFill="1" applyBorder="1"/>
    <xf numFmtId="164" fontId="6" fillId="5" borderId="8" xfId="0" applyNumberFormat="1" applyFont="1" applyFill="1" applyBorder="1"/>
    <xf numFmtId="0" fontId="7" fillId="3" borderId="3" xfId="0" applyFont="1" applyFill="1" applyBorder="1"/>
    <xf numFmtId="164" fontId="7" fillId="3" borderId="7" xfId="0" applyNumberFormat="1" applyFont="1" applyFill="1" applyBorder="1"/>
    <xf numFmtId="0" fontId="7" fillId="3" borderId="7" xfId="0" applyFont="1" applyFill="1" applyBorder="1"/>
    <xf numFmtId="164" fontId="7" fillId="0" borderId="0" xfId="0" applyNumberFormat="1" applyFont="1"/>
    <xf numFmtId="0" fontId="7" fillId="3" borderId="9" xfId="0" applyFont="1" applyFill="1" applyBorder="1"/>
    <xf numFmtId="0" fontId="1" fillId="0" borderId="3" xfId="0" applyFont="1" applyBorder="1"/>
    <xf numFmtId="0" fontId="0" fillId="0" borderId="4" xfId="0" applyBorder="1"/>
    <xf numFmtId="0" fontId="0" fillId="0" borderId="7" xfId="0" applyBorder="1"/>
    <xf numFmtId="164" fontId="0" fillId="0" borderId="8" xfId="0" applyNumberFormat="1" applyBorder="1" applyAlignment="1">
      <alignment horizontal="left"/>
    </xf>
    <xf numFmtId="164" fontId="0" fillId="5" borderId="8" xfId="0" applyNumberFormat="1" applyFill="1" applyBorder="1" applyAlignment="1">
      <alignment horizontal="left"/>
    </xf>
    <xf numFmtId="0" fontId="0" fillId="0" borderId="9" xfId="0" applyBorder="1"/>
    <xf numFmtId="0" fontId="4" fillId="0" borderId="8" xfId="1" applyBorder="1"/>
    <xf numFmtId="0" fontId="1" fillId="0" borderId="9" xfId="0" applyFont="1" applyBorder="1"/>
    <xf numFmtId="0" fontId="11" fillId="0" borderId="7" xfId="0" applyFont="1" applyBorder="1"/>
    <xf numFmtId="0" fontId="11" fillId="0" borderId="8" xfId="0" applyFont="1" applyBorder="1"/>
    <xf numFmtId="0" fontId="12" fillId="2" borderId="3" xfId="0" applyFont="1" applyFill="1" applyBorder="1"/>
    <xf numFmtId="15" fontId="14" fillId="3" borderId="4" xfId="0" applyNumberFormat="1" applyFont="1" applyFill="1" applyBorder="1"/>
    <xf numFmtId="15" fontId="14" fillId="3" borderId="8" xfId="0" applyNumberFormat="1" applyFont="1" applyFill="1" applyBorder="1"/>
    <xf numFmtId="15" fontId="14" fillId="3" borderId="11" xfId="0" applyNumberFormat="1" applyFont="1" applyFill="1" applyBorder="1"/>
    <xf numFmtId="0" fontId="0" fillId="0" borderId="16" xfId="0" applyBorder="1"/>
    <xf numFmtId="164" fontId="12" fillId="5" borderId="17" xfId="0" applyNumberFormat="1" applyFont="1" applyFill="1" applyBorder="1" applyAlignment="1">
      <alignment horizontal="right"/>
    </xf>
    <xf numFmtId="164" fontId="13" fillId="5" borderId="18" xfId="0" applyNumberFormat="1" applyFont="1" applyFill="1" applyBorder="1" applyAlignment="1">
      <alignment horizontal="right"/>
    </xf>
    <xf numFmtId="164" fontId="6" fillId="5" borderId="16" xfId="0" applyNumberFormat="1" applyFont="1" applyFill="1" applyBorder="1"/>
    <xf numFmtId="0" fontId="0" fillId="2" borderId="19" xfId="0" applyFill="1" applyBorder="1" applyAlignment="1">
      <alignment horizontal="right"/>
    </xf>
    <xf numFmtId="0" fontId="0" fillId="2" borderId="20" xfId="0" applyFill="1" applyBorder="1" applyAlignment="1">
      <alignment horizontal="right"/>
    </xf>
    <xf numFmtId="0" fontId="0" fillId="5" borderId="21" xfId="0" applyFill="1" applyBorder="1"/>
    <xf numFmtId="164" fontId="0" fillId="5" borderId="22" xfId="0" applyNumberFormat="1" applyFill="1" applyBorder="1"/>
    <xf numFmtId="18" fontId="15" fillId="4" borderId="0" xfId="0" applyNumberFormat="1" applyFont="1" applyFill="1"/>
    <xf numFmtId="0" fontId="0" fillId="0" borderId="0" xfId="0" applyAlignment="1">
      <alignment horizontal="center"/>
    </xf>
    <xf numFmtId="164" fontId="16" fillId="3" borderId="7" xfId="0" applyNumberFormat="1" applyFont="1" applyFill="1" applyBorder="1"/>
    <xf numFmtId="0" fontId="0" fillId="0" borderId="0" xfId="0" applyAlignment="1">
      <alignment horizontal="center" vertical="center" wrapText="1"/>
    </xf>
    <xf numFmtId="164" fontId="7" fillId="0" borderId="6" xfId="0" applyNumberFormat="1" applyFont="1" applyBorder="1"/>
    <xf numFmtId="164" fontId="17" fillId="4" borderId="25" xfId="0" applyNumberFormat="1" applyFont="1" applyFill="1" applyBorder="1"/>
    <xf numFmtId="20" fontId="0" fillId="0" borderId="0" xfId="0" applyNumberFormat="1"/>
    <xf numFmtId="16" fontId="0" fillId="0" borderId="0" xfId="0" applyNumberFormat="1"/>
    <xf numFmtId="0" fontId="0" fillId="0" borderId="8" xfId="0" applyBorder="1" applyAlignment="1">
      <alignment horizontal="left"/>
    </xf>
    <xf numFmtId="164" fontId="1" fillId="10" borderId="0" xfId="0" applyNumberFormat="1" applyFont="1" applyFill="1"/>
    <xf numFmtId="164" fontId="13" fillId="10" borderId="24" xfId="0" applyNumberFormat="1" applyFont="1" applyFill="1" applyBorder="1"/>
    <xf numFmtId="164" fontId="13" fillId="10" borderId="5" xfId="0" applyNumberFormat="1" applyFont="1" applyFill="1" applyBorder="1"/>
    <xf numFmtId="0" fontId="0" fillId="7" borderId="5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10" xfId="0" applyFill="1" applyBorder="1"/>
    <xf numFmtId="0" fontId="0" fillId="7" borderId="11" xfId="0" applyFill="1" applyBorder="1"/>
    <xf numFmtId="0" fontId="0" fillId="7" borderId="23" xfId="0" applyFill="1" applyBorder="1"/>
    <xf numFmtId="0" fontId="0" fillId="7" borderId="12" xfId="0" applyFill="1" applyBorder="1"/>
    <xf numFmtId="0" fontId="0" fillId="7" borderId="0" xfId="0" applyFill="1"/>
    <xf numFmtId="0" fontId="0" fillId="7" borderId="8" xfId="0" applyFill="1" applyBorder="1"/>
    <xf numFmtId="0" fontId="9" fillId="7" borderId="2" xfId="0" applyFont="1" applyFill="1" applyBorder="1"/>
    <xf numFmtId="164" fontId="5" fillId="7" borderId="0" xfId="0" applyNumberFormat="1" applyFont="1" applyFill="1"/>
    <xf numFmtId="0" fontId="9" fillId="7" borderId="13" xfId="0" applyFont="1" applyFill="1" applyBorder="1"/>
    <xf numFmtId="0" fontId="1" fillId="7" borderId="20" xfId="0" applyFont="1" applyFill="1" applyBorder="1" applyAlignment="1">
      <alignment horizontal="right"/>
    </xf>
    <xf numFmtId="164" fontId="1" fillId="3" borderId="22" xfId="0" applyNumberFormat="1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0" fontId="12" fillId="7" borderId="3" xfId="0" applyFont="1" applyFill="1" applyBorder="1"/>
    <xf numFmtId="0" fontId="5" fillId="7" borderId="6" xfId="0" applyFont="1" applyFill="1" applyBorder="1"/>
    <xf numFmtId="0" fontId="0" fillId="7" borderId="6" xfId="0" applyFill="1" applyBorder="1"/>
    <xf numFmtId="0" fontId="18" fillId="9" borderId="7" xfId="0" applyFont="1" applyFill="1" applyBorder="1"/>
    <xf numFmtId="15" fontId="18" fillId="9" borderId="0" xfId="0" applyNumberFormat="1" applyFont="1" applyFill="1"/>
    <xf numFmtId="0" fontId="19" fillId="9" borderId="0" xfId="0" applyFont="1" applyFill="1"/>
    <xf numFmtId="0" fontId="18" fillId="9" borderId="0" xfId="0" applyFont="1" applyFill="1"/>
    <xf numFmtId="19" fontId="20" fillId="9" borderId="0" xfId="0" applyNumberFormat="1" applyFont="1" applyFill="1"/>
    <xf numFmtId="0" fontId="20" fillId="9" borderId="0" xfId="0" applyFont="1" applyFill="1"/>
    <xf numFmtId="19" fontId="18" fillId="9" borderId="0" xfId="0" applyNumberFormat="1" applyFont="1" applyFill="1"/>
    <xf numFmtId="0" fontId="18" fillId="9" borderId="9" xfId="0" applyFont="1" applyFill="1" applyBorder="1"/>
    <xf numFmtId="0" fontId="18" fillId="9" borderId="10" xfId="0" applyFont="1" applyFill="1" applyBorder="1"/>
    <xf numFmtId="0" fontId="20" fillId="9" borderId="10" xfId="0" applyFont="1" applyFill="1" applyBorder="1"/>
    <xf numFmtId="15" fontId="19" fillId="9" borderId="0" xfId="0" applyNumberFormat="1" applyFont="1" applyFill="1"/>
    <xf numFmtId="15" fontId="20" fillId="9" borderId="0" xfId="0" applyNumberFormat="1" applyFont="1" applyFill="1"/>
    <xf numFmtId="21" fontId="21" fillId="10" borderId="0" xfId="0" applyNumberFormat="1" applyFont="1" applyFill="1"/>
    <xf numFmtId="21" fontId="21" fillId="10" borderId="8" xfId="0" applyNumberFormat="1" applyFont="1" applyFill="1" applyBorder="1"/>
    <xf numFmtId="0" fontId="21" fillId="10" borderId="10" xfId="0" applyFont="1" applyFill="1" applyBorder="1"/>
    <xf numFmtId="0" fontId="21" fillId="10" borderId="11" xfId="0" applyFont="1" applyFill="1" applyBorder="1"/>
    <xf numFmtId="0" fontId="21" fillId="10" borderId="0" xfId="0" applyFont="1" applyFill="1"/>
    <xf numFmtId="164" fontId="22" fillId="10" borderId="4" xfId="0" applyNumberFormat="1" applyFont="1" applyFill="1" applyBorder="1"/>
    <xf numFmtId="166" fontId="19" fillId="9" borderId="0" xfId="0" applyNumberFormat="1" applyFont="1" applyFill="1"/>
    <xf numFmtId="21" fontId="0" fillId="0" borderId="0" xfId="0" applyNumberFormat="1"/>
    <xf numFmtId="168" fontId="0" fillId="0" borderId="0" xfId="0" applyNumberFormat="1"/>
    <xf numFmtId="0" fontId="25" fillId="0" borderId="0" xfId="0" applyFont="1" applyAlignment="1">
      <alignment horizontal="left"/>
    </xf>
    <xf numFmtId="0" fontId="25" fillId="0" borderId="0" xfId="0" applyFont="1"/>
    <xf numFmtId="164" fontId="24" fillId="0" borderId="0" xfId="0" applyNumberFormat="1" applyFont="1"/>
    <xf numFmtId="168" fontId="24" fillId="0" borderId="0" xfId="0" applyNumberFormat="1" applyFont="1"/>
    <xf numFmtId="168" fontId="1" fillId="0" borderId="0" xfId="0" applyNumberFormat="1" applyFont="1"/>
    <xf numFmtId="0" fontId="0" fillId="12" borderId="0" xfId="0" applyFill="1"/>
    <xf numFmtId="0" fontId="9" fillId="12" borderId="0" xfId="0" applyFont="1" applyFill="1"/>
    <xf numFmtId="0" fontId="8" fillId="7" borderId="8" xfId="0" applyFont="1" applyFill="1" applyBorder="1"/>
    <xf numFmtId="0" fontId="9" fillId="7" borderId="26" xfId="0" applyFont="1" applyFill="1" applyBorder="1"/>
    <xf numFmtId="0" fontId="0" fillId="12" borderId="12" xfId="0" applyFill="1" applyBorder="1"/>
    <xf numFmtId="0" fontId="9" fillId="12" borderId="8" xfId="0" applyFont="1" applyFill="1" applyBorder="1"/>
    <xf numFmtId="0" fontId="26" fillId="13" borderId="0" xfId="0" applyFont="1" applyFill="1"/>
    <xf numFmtId="169" fontId="0" fillId="14" borderId="2" xfId="0" applyNumberFormat="1" applyFill="1" applyBorder="1"/>
    <xf numFmtId="0" fontId="9" fillId="14" borderId="1" xfId="0" applyFont="1" applyFill="1" applyBorder="1" applyAlignment="1">
      <alignment horizontal="right"/>
    </xf>
    <xf numFmtId="0" fontId="9" fillId="14" borderId="5" xfId="0" applyFont="1" applyFill="1" applyBorder="1" applyAlignment="1">
      <alignment horizontal="right"/>
    </xf>
    <xf numFmtId="164" fontId="1" fillId="10" borderId="25" xfId="0" applyNumberFormat="1" applyFont="1" applyFill="1" applyBorder="1"/>
    <xf numFmtId="164" fontId="1" fillId="10" borderId="27" xfId="0" applyNumberFormat="1" applyFont="1" applyFill="1" applyBorder="1"/>
    <xf numFmtId="164" fontId="27" fillId="14" borderId="28" xfId="0" applyNumberFormat="1" applyFont="1" applyFill="1" applyBorder="1" applyAlignment="1">
      <alignment horizontal="right"/>
    </xf>
    <xf numFmtId="14" fontId="0" fillId="0" borderId="0" xfId="0" applyNumberFormat="1"/>
    <xf numFmtId="19" fontId="28" fillId="9" borderId="0" xfId="0" applyNumberFormat="1" applyFont="1" applyFill="1"/>
    <xf numFmtId="21" fontId="0" fillId="12" borderId="0" xfId="0" applyNumberFormat="1" applyFill="1"/>
    <xf numFmtId="19" fontId="29" fillId="0" borderId="0" xfId="0" applyNumberFormat="1" applyFont="1"/>
    <xf numFmtId="21" fontId="0" fillId="11" borderId="0" xfId="0" applyNumberFormat="1" applyFill="1"/>
    <xf numFmtId="168" fontId="0" fillId="11" borderId="0" xfId="0" applyNumberFormat="1" applyFill="1"/>
    <xf numFmtId="168" fontId="0" fillId="15" borderId="0" xfId="0" applyNumberFormat="1" applyFill="1"/>
    <xf numFmtId="21" fontId="0" fillId="15" borderId="0" xfId="0" applyNumberFormat="1" applyFill="1"/>
    <xf numFmtId="168" fontId="0" fillId="3" borderId="0" xfId="0" applyNumberFormat="1" applyFill="1"/>
    <xf numFmtId="21" fontId="0" fillId="3" borderId="0" xfId="0" applyNumberFormat="1" applyFill="1"/>
    <xf numFmtId="168" fontId="0" fillId="16" borderId="0" xfId="0" applyNumberFormat="1" applyFill="1"/>
    <xf numFmtId="21" fontId="0" fillId="16" borderId="0" xfId="0" applyNumberFormat="1" applyFill="1"/>
    <xf numFmtId="46" fontId="0" fillId="0" borderId="0" xfId="0" applyNumberFormat="1"/>
    <xf numFmtId="0" fontId="26" fillId="7" borderId="5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right"/>
    </xf>
    <xf numFmtId="0" fontId="26" fillId="8" borderId="3" xfId="0" applyFont="1" applyFill="1" applyBorder="1" applyAlignment="1">
      <alignment horizontal="center" vertical="center" wrapText="1"/>
    </xf>
    <xf numFmtId="0" fontId="26" fillId="8" borderId="31" xfId="0" applyFont="1" applyFill="1" applyBorder="1" applyAlignment="1">
      <alignment horizontal="center" vertical="center" wrapText="1"/>
    </xf>
    <xf numFmtId="167" fontId="18" fillId="6" borderId="27" xfId="0" applyNumberFormat="1" applyFont="1" applyFill="1" applyBorder="1"/>
    <xf numFmtId="167" fontId="18" fillId="6" borderId="34" xfId="0" applyNumberFormat="1" applyFont="1" applyFill="1" applyBorder="1"/>
    <xf numFmtId="168" fontId="30" fillId="17" borderId="0" xfId="0" applyNumberFormat="1" applyFont="1" applyFill="1" applyAlignment="1">
      <alignment horizontal="center"/>
    </xf>
    <xf numFmtId="0" fontId="24" fillId="0" borderId="0" xfId="0" applyFont="1" applyAlignment="1">
      <alignment wrapText="1"/>
    </xf>
    <xf numFmtId="168" fontId="30" fillId="17" borderId="0" xfId="0" applyNumberFormat="1" applyFont="1" applyFill="1" applyAlignment="1">
      <alignment horizontal="center" vertical="center"/>
    </xf>
    <xf numFmtId="0" fontId="26" fillId="17" borderId="0" xfId="0" applyFont="1" applyFill="1" applyAlignment="1">
      <alignment wrapText="1"/>
    </xf>
    <xf numFmtId="170" fontId="31" fillId="18" borderId="0" xfId="0" applyNumberFormat="1" applyFont="1" applyFill="1" applyAlignment="1">
      <alignment horizontal="center" vertical="center"/>
    </xf>
    <xf numFmtId="46" fontId="6" fillId="6" borderId="32" xfId="0" applyNumberFormat="1" applyFont="1" applyFill="1" applyBorder="1" applyAlignment="1">
      <alignment horizontal="center"/>
    </xf>
    <xf numFmtId="46" fontId="6" fillId="0" borderId="25" xfId="0" applyNumberFormat="1" applyFont="1" applyBorder="1" applyAlignment="1">
      <alignment horizontal="center"/>
    </xf>
    <xf numFmtId="46" fontId="6" fillId="0" borderId="27" xfId="0" applyNumberFormat="1" applyFont="1" applyBorder="1" applyAlignment="1">
      <alignment horizontal="center"/>
    </xf>
    <xf numFmtId="46" fontId="6" fillId="3" borderId="32" xfId="0" applyNumberFormat="1" applyFont="1" applyFill="1" applyBorder="1" applyAlignment="1">
      <alignment horizontal="center"/>
    </xf>
    <xf numFmtId="46" fontId="0" fillId="0" borderId="25" xfId="0" applyNumberFormat="1" applyBorder="1"/>
    <xf numFmtId="46" fontId="0" fillId="0" borderId="27" xfId="0" applyNumberFormat="1" applyBorder="1"/>
    <xf numFmtId="46" fontId="23" fillId="0" borderId="25" xfId="0" applyNumberFormat="1" applyFont="1" applyBorder="1" applyAlignment="1">
      <alignment horizontal="center"/>
    </xf>
    <xf numFmtId="46" fontId="23" fillId="0" borderId="27" xfId="0" applyNumberFormat="1" applyFont="1" applyBorder="1" applyAlignment="1">
      <alignment horizontal="center"/>
    </xf>
    <xf numFmtId="46" fontId="23" fillId="6" borderId="32" xfId="0" applyNumberFormat="1" applyFont="1" applyFill="1" applyBorder="1" applyAlignment="1">
      <alignment horizontal="center"/>
    </xf>
    <xf numFmtId="46" fontId="6" fillId="6" borderId="33" xfId="0" applyNumberFormat="1" applyFont="1" applyFill="1" applyBorder="1" applyAlignment="1">
      <alignment horizontal="center"/>
    </xf>
    <xf numFmtId="46" fontId="6" fillId="0" borderId="28" xfId="0" applyNumberFormat="1" applyFont="1" applyBorder="1" applyAlignment="1">
      <alignment horizontal="center"/>
    </xf>
    <xf numFmtId="46" fontId="6" fillId="0" borderId="34" xfId="0" applyNumberFormat="1" applyFont="1" applyBorder="1" applyAlignment="1">
      <alignment horizontal="center"/>
    </xf>
    <xf numFmtId="46" fontId="6" fillId="3" borderId="33" xfId="0" applyNumberFormat="1" applyFont="1" applyFill="1" applyBorder="1" applyAlignment="1">
      <alignment horizontal="center"/>
    </xf>
    <xf numFmtId="0" fontId="26" fillId="8" borderId="3" xfId="0" applyFont="1" applyFill="1" applyBorder="1" applyAlignment="1">
      <alignment horizontal="center" vertical="center"/>
    </xf>
    <xf numFmtId="0" fontId="26" fillId="8" borderId="30" xfId="0" applyFont="1" applyFill="1" applyBorder="1" applyAlignment="1">
      <alignment horizontal="center" vertical="center"/>
    </xf>
    <xf numFmtId="165" fontId="26" fillId="8" borderId="32" xfId="0" applyNumberFormat="1" applyFont="1" applyFill="1" applyBorder="1" applyAlignment="1">
      <alignment horizontal="right"/>
    </xf>
    <xf numFmtId="165" fontId="26" fillId="8" borderId="33" xfId="0" applyNumberFormat="1" applyFont="1" applyFill="1" applyBorder="1" applyAlignment="1">
      <alignment horizontal="right"/>
    </xf>
    <xf numFmtId="21" fontId="30" fillId="17" borderId="0" xfId="0" applyNumberFormat="1" applyFont="1" applyFill="1"/>
    <xf numFmtId="21" fontId="30" fillId="19" borderId="0" xfId="0" applyNumberFormat="1" applyFont="1" applyFill="1"/>
    <xf numFmtId="21" fontId="6" fillId="0" borderId="27" xfId="0" applyNumberFormat="1" applyFont="1" applyBorder="1" applyAlignment="1">
      <alignment horizontal="center"/>
    </xf>
    <xf numFmtId="46" fontId="26" fillId="8" borderId="0" xfId="0" applyNumberFormat="1" applyFont="1" applyFill="1"/>
    <xf numFmtId="46" fontId="0" fillId="0" borderId="32" xfId="0" applyNumberFormat="1" applyBorder="1"/>
    <xf numFmtId="0" fontId="26" fillId="12" borderId="0" xfId="0" applyFont="1" applyFill="1"/>
    <xf numFmtId="0" fontId="32" fillId="12" borderId="0" xfId="0" applyFont="1" applyFill="1"/>
    <xf numFmtId="20" fontId="32" fillId="12" borderId="0" xfId="0" applyNumberFormat="1" applyFont="1" applyFill="1"/>
    <xf numFmtId="0" fontId="33" fillId="20" borderId="8" xfId="0" applyFont="1" applyFill="1" applyBorder="1"/>
    <xf numFmtId="0" fontId="34" fillId="0" borderId="35" xfId="0" applyFont="1" applyBorder="1" applyAlignment="1">
      <alignment vertical="center" wrapText="1"/>
    </xf>
    <xf numFmtId="0" fontId="26" fillId="17" borderId="0" xfId="0" applyFont="1" applyFill="1" applyAlignment="1">
      <alignment horizontal="center" wrapText="1"/>
    </xf>
  </cellXfs>
  <cellStyles count="2">
    <cellStyle name="Hyperlink" xfId="1" builtinId="8"/>
    <cellStyle name="Normal" xfId="0" builtinId="0"/>
  </cellStyles>
  <dxfs count="8">
    <dxf>
      <font>
        <b/>
        <i val="0"/>
        <color auto="1"/>
      </font>
      <fill>
        <patternFill>
          <bgColor theme="9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auto="1"/>
      </font>
      <fill>
        <patternFill>
          <bgColor theme="6" tint="0.39994506668294322"/>
        </patternFill>
      </fill>
    </dxf>
  </dxfs>
  <tableStyles count="0" defaultTableStyle="TableStyleMedium2" defaultPivotStyle="PivotStyleMedium9"/>
  <colors>
    <mruColors>
      <color rgb="FF3E4D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4223</xdr:colOff>
      <xdr:row>0</xdr:row>
      <xdr:rowOff>93278</xdr:rowOff>
    </xdr:from>
    <xdr:to>
      <xdr:col>7</xdr:col>
      <xdr:colOff>697951</xdr:colOff>
      <xdr:row>1</xdr:row>
      <xdr:rowOff>428624</xdr:rowOff>
    </xdr:to>
    <xdr:pic macro="[0]!Sheet2.RefreshReport_Click">
      <xdr:nvPicPr>
        <xdr:cNvPr id="11" name="Refresh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2798" y="93278"/>
          <a:ext cx="1646228" cy="53537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763971</xdr:colOff>
      <xdr:row>0</xdr:row>
      <xdr:rowOff>104774</xdr:rowOff>
    </xdr:from>
    <xdr:to>
      <xdr:col>8</xdr:col>
      <xdr:colOff>752475</xdr:colOff>
      <xdr:row>1</xdr:row>
      <xdr:rowOff>447674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514565" y="104774"/>
          <a:ext cx="1012441" cy="545306"/>
          <a:chOff x="5793828" y="142875"/>
          <a:chExt cx="1003738" cy="368519"/>
        </a:xfrm>
      </xdr:grpSpPr>
      <xdr:sp macro="[0]!Sheet2.StartCat_Click" textlink="">
        <xdr:nvSpPr>
          <xdr:cNvPr id="2073" name="AutoShape 25">
            <a:extLst>
              <a:ext uri="{FF2B5EF4-FFF2-40B4-BE49-F238E27FC236}">
                <a16:creationId xmlns:a16="http://schemas.microsoft.com/office/drawing/2014/main" id="{00000000-0008-0000-0000-00001908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6549529" y="142875"/>
            <a:ext cx="248037" cy="35907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75" name="Rectangle 27">
            <a:extLst>
              <a:ext uri="{FF2B5EF4-FFF2-40B4-BE49-F238E27FC236}">
                <a16:creationId xmlns:a16="http://schemas.microsoft.com/office/drawing/2014/main" id="{00000000-0008-0000-0000-00001B080000}"/>
              </a:ext>
            </a:extLst>
          </xdr:cNvPr>
          <xdr:cNvSpPr>
            <a:spLocks noChangeArrowheads="1"/>
          </xdr:cNvSpPr>
        </xdr:nvSpPr>
        <xdr:spPr bwMode="auto">
          <a:xfrm>
            <a:off x="6039547" y="142875"/>
            <a:ext cx="758019" cy="359070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76" name="Rectangle 28">
            <a:extLst>
              <a:ext uri="{FF2B5EF4-FFF2-40B4-BE49-F238E27FC236}">
                <a16:creationId xmlns:a16="http://schemas.microsoft.com/office/drawing/2014/main" id="{00000000-0008-0000-0000-00001C080000}"/>
              </a:ext>
            </a:extLst>
          </xdr:cNvPr>
          <xdr:cNvSpPr>
            <a:spLocks noChangeArrowheads="1"/>
          </xdr:cNvSpPr>
        </xdr:nvSpPr>
        <xdr:spPr bwMode="auto">
          <a:xfrm>
            <a:off x="5793828" y="501945"/>
            <a:ext cx="1001420" cy="9449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77" name="Rectangle 29">
            <a:extLst>
              <a:ext uri="{FF2B5EF4-FFF2-40B4-BE49-F238E27FC236}">
                <a16:creationId xmlns:a16="http://schemas.microsoft.com/office/drawing/2014/main" id="{00000000-0008-0000-0000-00001D080000}"/>
              </a:ext>
            </a:extLst>
          </xdr:cNvPr>
          <xdr:cNvSpPr>
            <a:spLocks noChangeArrowheads="1"/>
          </xdr:cNvSpPr>
        </xdr:nvSpPr>
        <xdr:spPr bwMode="auto">
          <a:xfrm>
            <a:off x="5793828" y="142875"/>
            <a:ext cx="758019" cy="35907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78" name="Rectangle 30">
            <a:extLst>
              <a:ext uri="{FF2B5EF4-FFF2-40B4-BE49-F238E27FC236}">
                <a16:creationId xmlns:a16="http://schemas.microsoft.com/office/drawing/2014/main" id="{00000000-0008-0000-0000-00001E080000}"/>
              </a:ext>
            </a:extLst>
          </xdr:cNvPr>
          <xdr:cNvSpPr>
            <a:spLocks noChangeArrowheads="1"/>
          </xdr:cNvSpPr>
        </xdr:nvSpPr>
        <xdr:spPr bwMode="auto">
          <a:xfrm>
            <a:off x="5796146" y="142875"/>
            <a:ext cx="999102" cy="944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79" name="Rectangle 31">
            <a:extLst>
              <a:ext uri="{FF2B5EF4-FFF2-40B4-BE49-F238E27FC236}">
                <a16:creationId xmlns:a16="http://schemas.microsoft.com/office/drawing/2014/main" id="{00000000-0008-0000-0000-00001F080000}"/>
              </a:ext>
            </a:extLst>
          </xdr:cNvPr>
          <xdr:cNvSpPr>
            <a:spLocks noChangeArrowheads="1"/>
          </xdr:cNvSpPr>
        </xdr:nvSpPr>
        <xdr:spPr bwMode="auto">
          <a:xfrm>
            <a:off x="6039547" y="142875"/>
            <a:ext cx="758019" cy="359070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0" name="Rectangle 32">
            <a:extLst>
              <a:ext uri="{FF2B5EF4-FFF2-40B4-BE49-F238E27FC236}">
                <a16:creationId xmlns:a16="http://schemas.microsoft.com/office/drawing/2014/main" id="{00000000-0008-0000-0000-000020080000}"/>
              </a:ext>
            </a:extLst>
          </xdr:cNvPr>
          <xdr:cNvSpPr>
            <a:spLocks noChangeArrowheads="1"/>
          </xdr:cNvSpPr>
        </xdr:nvSpPr>
        <xdr:spPr bwMode="auto">
          <a:xfrm>
            <a:off x="5796146" y="492496"/>
            <a:ext cx="999102" cy="9449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1" name="Rectangle 33">
            <a:extLst>
              <a:ext uri="{FF2B5EF4-FFF2-40B4-BE49-F238E27FC236}">
                <a16:creationId xmlns:a16="http://schemas.microsoft.com/office/drawing/2014/main" id="{00000000-0008-0000-0000-000021080000}"/>
              </a:ext>
            </a:extLst>
          </xdr:cNvPr>
          <xdr:cNvSpPr>
            <a:spLocks noChangeArrowheads="1"/>
          </xdr:cNvSpPr>
        </xdr:nvSpPr>
        <xdr:spPr bwMode="auto">
          <a:xfrm>
            <a:off x="5796146" y="142875"/>
            <a:ext cx="758019" cy="34962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2" name="Rectangle 34">
            <a:extLst>
              <a:ext uri="{FF2B5EF4-FFF2-40B4-BE49-F238E27FC236}">
                <a16:creationId xmlns:a16="http://schemas.microsoft.com/office/drawing/2014/main" id="{00000000-0008-0000-0000-000022080000}"/>
              </a:ext>
            </a:extLst>
          </xdr:cNvPr>
          <xdr:cNvSpPr>
            <a:spLocks noChangeArrowheads="1"/>
          </xdr:cNvSpPr>
        </xdr:nvSpPr>
        <xdr:spPr bwMode="auto">
          <a:xfrm>
            <a:off x="5796146" y="142875"/>
            <a:ext cx="999102" cy="9449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3" name="Rectangle 35">
            <a:extLst>
              <a:ext uri="{FF2B5EF4-FFF2-40B4-BE49-F238E27FC236}">
                <a16:creationId xmlns:a16="http://schemas.microsoft.com/office/drawing/2014/main" id="{00000000-0008-0000-0000-000023080000}"/>
              </a:ext>
            </a:extLst>
          </xdr:cNvPr>
          <xdr:cNvSpPr>
            <a:spLocks noChangeArrowheads="1"/>
          </xdr:cNvSpPr>
        </xdr:nvSpPr>
        <xdr:spPr bwMode="auto">
          <a:xfrm>
            <a:off x="5796146" y="152324"/>
            <a:ext cx="999102" cy="340171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4" name="Rectangle 36">
            <a:extLst>
              <a:ext uri="{FF2B5EF4-FFF2-40B4-BE49-F238E27FC236}">
                <a16:creationId xmlns:a16="http://schemas.microsoft.com/office/drawing/2014/main" id="{00000000-0008-0000-0000-000024080000}"/>
              </a:ext>
            </a:extLst>
          </xdr:cNvPr>
          <xdr:cNvSpPr>
            <a:spLocks noChangeArrowheads="1"/>
          </xdr:cNvSpPr>
        </xdr:nvSpPr>
        <xdr:spPr bwMode="auto">
          <a:xfrm>
            <a:off x="5798464" y="152324"/>
            <a:ext cx="994466" cy="340171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5" name="Rectangle 37">
            <a:extLst>
              <a:ext uri="{FF2B5EF4-FFF2-40B4-BE49-F238E27FC236}">
                <a16:creationId xmlns:a16="http://schemas.microsoft.com/office/drawing/2014/main" id="{00000000-0008-0000-0000-000025080000}"/>
              </a:ext>
            </a:extLst>
          </xdr:cNvPr>
          <xdr:cNvSpPr>
            <a:spLocks noChangeArrowheads="1"/>
          </xdr:cNvSpPr>
        </xdr:nvSpPr>
        <xdr:spPr bwMode="auto">
          <a:xfrm>
            <a:off x="5886552" y="209019"/>
            <a:ext cx="813654" cy="2362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lIns="0" tIns="0" rIns="0" bIns="0" anchor="ctr">
            <a:noAutofit/>
          </a:bodyPr>
          <a:lstStyle/>
          <a:p>
            <a:pPr algn="ctr" rtl="0">
              <a:defRPr sz="1000"/>
            </a:pPr>
            <a:r>
              <a:rPr lang="en-IN" sz="11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Evaluate Month Data</a:t>
            </a:r>
          </a:p>
        </xdr:txBody>
      </xdr:sp>
    </xdr:grpSp>
    <xdr:clientData/>
  </xdr:twoCellAnchor>
  <xdr:twoCellAnchor>
    <xdr:from>
      <xdr:col>8</xdr:col>
      <xdr:colOff>809625</xdr:colOff>
      <xdr:row>0</xdr:row>
      <xdr:rowOff>95249</xdr:rowOff>
    </xdr:from>
    <xdr:to>
      <xdr:col>9</xdr:col>
      <xdr:colOff>476250</xdr:colOff>
      <xdr:row>1</xdr:row>
      <xdr:rowOff>438149</xdr:rowOff>
    </xdr:to>
    <xdr:grpSp>
      <xdr:nvGrpSpPr>
        <xdr:cNvPr id="2102" name="Group 54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GrpSpPr>
          <a:grpSpLocks noChangeAspect="1"/>
        </xdr:cNvGrpSpPr>
      </xdr:nvGrpSpPr>
      <xdr:grpSpPr bwMode="auto">
        <a:xfrm>
          <a:off x="6584156" y="95249"/>
          <a:ext cx="631032" cy="545306"/>
          <a:chOff x="723" y="15"/>
          <a:chExt cx="66" cy="38"/>
        </a:xfrm>
      </xdr:grpSpPr>
      <xdr:sp macro="[0]!Sheet2.Today_Click" textlink="">
        <xdr:nvSpPr>
          <xdr:cNvPr id="2101" name="AutoShape 53">
            <a:extLst>
              <a:ext uri="{FF2B5EF4-FFF2-40B4-BE49-F238E27FC236}">
                <a16:creationId xmlns:a16="http://schemas.microsoft.com/office/drawing/2014/main" id="{00000000-0008-0000-0000-00003508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723" y="15"/>
            <a:ext cx="66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03" name="Rectangle 55">
            <a:extLst>
              <a:ext uri="{FF2B5EF4-FFF2-40B4-BE49-F238E27FC236}">
                <a16:creationId xmlns:a16="http://schemas.microsoft.com/office/drawing/2014/main" id="{00000000-0008-0000-0000-000037080000}"/>
              </a:ext>
            </a:extLst>
          </xdr:cNvPr>
          <xdr:cNvSpPr>
            <a:spLocks noChangeArrowheads="1"/>
          </xdr:cNvSpPr>
        </xdr:nvSpPr>
        <xdr:spPr bwMode="auto">
          <a:xfrm>
            <a:off x="788" y="15"/>
            <a:ext cx="1" cy="38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04" name="Rectangle 56">
            <a:extLst>
              <a:ext uri="{FF2B5EF4-FFF2-40B4-BE49-F238E27FC236}">
                <a16:creationId xmlns:a16="http://schemas.microsoft.com/office/drawing/2014/main" id="{00000000-0008-0000-0000-000038080000}"/>
              </a:ext>
            </a:extLst>
          </xdr:cNvPr>
          <xdr:cNvSpPr>
            <a:spLocks noChangeArrowheads="1"/>
          </xdr:cNvSpPr>
        </xdr:nvSpPr>
        <xdr:spPr bwMode="auto">
          <a:xfrm>
            <a:off x="723" y="52"/>
            <a:ext cx="65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05" name="Rectangle 57">
            <a:extLst>
              <a:ext uri="{FF2B5EF4-FFF2-40B4-BE49-F238E27FC236}">
                <a16:creationId xmlns:a16="http://schemas.microsoft.com/office/drawing/2014/main" id="{00000000-0008-0000-0000-000039080000}"/>
              </a:ext>
            </a:extLst>
          </xdr:cNvPr>
          <xdr:cNvSpPr>
            <a:spLocks noChangeArrowheads="1"/>
          </xdr:cNvSpPr>
        </xdr:nvSpPr>
        <xdr:spPr bwMode="auto">
          <a:xfrm>
            <a:off x="723" y="15"/>
            <a:ext cx="1" cy="3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06" name="Rectangle 58">
            <a:extLst>
              <a:ext uri="{FF2B5EF4-FFF2-40B4-BE49-F238E27FC236}">
                <a16:creationId xmlns:a16="http://schemas.microsoft.com/office/drawing/2014/main" id="{00000000-0008-0000-0000-00003A080000}"/>
              </a:ext>
            </a:extLst>
          </xdr:cNvPr>
          <xdr:cNvSpPr>
            <a:spLocks noChangeArrowheads="1"/>
          </xdr:cNvSpPr>
        </xdr:nvSpPr>
        <xdr:spPr bwMode="auto">
          <a:xfrm>
            <a:off x="724" y="15"/>
            <a:ext cx="64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07" name="Rectangle 59">
            <a:extLst>
              <a:ext uri="{FF2B5EF4-FFF2-40B4-BE49-F238E27FC236}">
                <a16:creationId xmlns:a16="http://schemas.microsoft.com/office/drawing/2014/main" id="{00000000-0008-0000-0000-00003B080000}"/>
              </a:ext>
            </a:extLst>
          </xdr:cNvPr>
          <xdr:cNvSpPr>
            <a:spLocks noChangeArrowheads="1"/>
          </xdr:cNvSpPr>
        </xdr:nvSpPr>
        <xdr:spPr bwMode="auto">
          <a:xfrm>
            <a:off x="787" y="16"/>
            <a:ext cx="1" cy="36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08" name="Rectangle 60">
            <a:extLst>
              <a:ext uri="{FF2B5EF4-FFF2-40B4-BE49-F238E27FC236}">
                <a16:creationId xmlns:a16="http://schemas.microsoft.com/office/drawing/2014/main" id="{00000000-0008-0000-0000-00003C080000}"/>
              </a:ext>
            </a:extLst>
          </xdr:cNvPr>
          <xdr:cNvSpPr>
            <a:spLocks noChangeArrowheads="1"/>
          </xdr:cNvSpPr>
        </xdr:nvSpPr>
        <xdr:spPr bwMode="auto">
          <a:xfrm>
            <a:off x="724" y="51"/>
            <a:ext cx="63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09" name="Rectangle 61">
            <a:extLst>
              <a:ext uri="{FF2B5EF4-FFF2-40B4-BE49-F238E27FC236}">
                <a16:creationId xmlns:a16="http://schemas.microsoft.com/office/drawing/2014/main" id="{00000000-0008-0000-0000-00003D080000}"/>
              </a:ext>
            </a:extLst>
          </xdr:cNvPr>
          <xdr:cNvSpPr>
            <a:spLocks noChangeArrowheads="1"/>
          </xdr:cNvSpPr>
        </xdr:nvSpPr>
        <xdr:spPr bwMode="auto">
          <a:xfrm>
            <a:off x="724" y="16"/>
            <a:ext cx="1" cy="35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10" name="Rectangle 62">
            <a:extLst>
              <a:ext uri="{FF2B5EF4-FFF2-40B4-BE49-F238E27FC236}">
                <a16:creationId xmlns:a16="http://schemas.microsoft.com/office/drawing/2014/main" id="{00000000-0008-0000-0000-00003E080000}"/>
              </a:ext>
            </a:extLst>
          </xdr:cNvPr>
          <xdr:cNvSpPr>
            <a:spLocks noChangeArrowheads="1"/>
          </xdr:cNvSpPr>
        </xdr:nvSpPr>
        <xdr:spPr bwMode="auto">
          <a:xfrm>
            <a:off x="725" y="16"/>
            <a:ext cx="62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11" name="Rectangle 63">
            <a:extLst>
              <a:ext uri="{FF2B5EF4-FFF2-40B4-BE49-F238E27FC236}">
                <a16:creationId xmlns:a16="http://schemas.microsoft.com/office/drawing/2014/main" id="{00000000-0008-0000-0000-00003F080000}"/>
              </a:ext>
            </a:extLst>
          </xdr:cNvPr>
          <xdr:cNvSpPr>
            <a:spLocks noChangeArrowheads="1"/>
          </xdr:cNvSpPr>
        </xdr:nvSpPr>
        <xdr:spPr bwMode="auto">
          <a:xfrm>
            <a:off x="725" y="17"/>
            <a:ext cx="62" cy="34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12" name="Rectangle 64">
            <a:extLst>
              <a:ext uri="{FF2B5EF4-FFF2-40B4-BE49-F238E27FC236}">
                <a16:creationId xmlns:a16="http://schemas.microsoft.com/office/drawing/2014/main" id="{00000000-0008-0000-0000-000040080000}"/>
              </a:ext>
            </a:extLst>
          </xdr:cNvPr>
          <xdr:cNvSpPr>
            <a:spLocks noChangeArrowheads="1"/>
          </xdr:cNvSpPr>
        </xdr:nvSpPr>
        <xdr:spPr bwMode="auto">
          <a:xfrm>
            <a:off x="726" y="18"/>
            <a:ext cx="61" cy="32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Click" textlink="">
        <xdr:nvSpPr>
          <xdr:cNvPr id="2113" name="Rectangle 65">
            <a:extLst>
              <a:ext uri="{FF2B5EF4-FFF2-40B4-BE49-F238E27FC236}">
                <a16:creationId xmlns:a16="http://schemas.microsoft.com/office/drawing/2014/main" id="{00000000-0008-0000-0000-000041080000}"/>
              </a:ext>
            </a:extLst>
          </xdr:cNvPr>
          <xdr:cNvSpPr>
            <a:spLocks noChangeArrowheads="1"/>
          </xdr:cNvSpPr>
        </xdr:nvSpPr>
        <xdr:spPr bwMode="auto">
          <a:xfrm>
            <a:off x="727" y="25"/>
            <a:ext cx="55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ctr" rtl="0">
              <a:defRPr sz="1000"/>
            </a:pPr>
            <a:r>
              <a:rPr lang="en-IN" sz="16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Today</a:t>
            </a:r>
            <a:endParaRPr lang="en-IN" sz="1400" b="1" i="0" u="none" strike="noStrike" baseline="0">
              <a:solidFill>
                <a:srgbClr val="000000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10</xdr:col>
      <xdr:colOff>46311</xdr:colOff>
      <xdr:row>0</xdr:row>
      <xdr:rowOff>87366</xdr:rowOff>
    </xdr:from>
    <xdr:to>
      <xdr:col>11</xdr:col>
      <xdr:colOff>352425</xdr:colOff>
      <xdr:row>1</xdr:row>
      <xdr:rowOff>428624</xdr:rowOff>
    </xdr:to>
    <xdr:grpSp>
      <xdr:nvGrpSpPr>
        <xdr:cNvPr id="2052" name="Group 205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GrpSpPr/>
      </xdr:nvGrpSpPr>
      <xdr:grpSpPr>
        <a:xfrm>
          <a:off x="7285311" y="87366"/>
          <a:ext cx="949052" cy="543664"/>
          <a:chOff x="7593724" y="144517"/>
          <a:chExt cx="626022" cy="358994"/>
        </a:xfrm>
      </xdr:grpSpPr>
      <xdr:sp macro="[0]!Sheet2.Yesterday_Click" textlink="">
        <xdr:nvSpPr>
          <xdr:cNvPr id="8" name="AutoShape 53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7593724" y="144517"/>
            <a:ext cx="626022" cy="35899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9" name="Rectangle 55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8210261" y="144517"/>
            <a:ext cx="9485" cy="35899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10" name="Rectangle 56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7593724" y="494064"/>
            <a:ext cx="616537" cy="9447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12" name="Rectangle 57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7593724" y="144517"/>
            <a:ext cx="9485" cy="34954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14" name="Rectangle 58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7603209" y="144517"/>
            <a:ext cx="607052" cy="944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15" name="Rectangle 59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8200776" y="153964"/>
            <a:ext cx="9485" cy="340100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16" name="Rectangle 60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7603209" y="484617"/>
            <a:ext cx="597566" cy="9447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17" name="Rectangle 6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7603209" y="153964"/>
            <a:ext cx="9485" cy="330652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18" name="Rectangle 62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7612694" y="153964"/>
            <a:ext cx="588081" cy="9447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19" name="Rectangle 63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7612694" y="163411"/>
            <a:ext cx="588081" cy="321205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20" name="Rectangle 64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7622180" y="172859"/>
            <a:ext cx="578596" cy="302311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Yesterday_Click" textlink="">
        <xdr:nvSpPr>
          <xdr:cNvPr id="21" name="Rectangle 65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7666462" y="248436"/>
            <a:ext cx="474259" cy="1417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ctr">
            <a:noAutofit/>
          </a:bodyPr>
          <a:lstStyle/>
          <a:p>
            <a:pPr algn="ctr" rtl="0">
              <a:defRPr sz="1000"/>
            </a:pPr>
            <a:r>
              <a:rPr lang="en-IN" sz="16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Yesterday</a:t>
            </a:r>
            <a:endParaRPr lang="en-IN" sz="1800" b="1" i="0" u="none" strike="noStrike" baseline="0">
              <a:solidFill>
                <a:srgbClr val="000000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11</xdr:col>
      <xdr:colOff>394135</xdr:colOff>
      <xdr:row>0</xdr:row>
      <xdr:rowOff>77841</xdr:rowOff>
    </xdr:from>
    <xdr:to>
      <xdr:col>12</xdr:col>
      <xdr:colOff>638175</xdr:colOff>
      <xdr:row>1</xdr:row>
      <xdr:rowOff>438149</xdr:rowOff>
    </xdr:to>
    <xdr:grpSp>
      <xdr:nvGrpSpPr>
        <xdr:cNvPr id="2051" name="Group 2050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GrpSpPr/>
      </xdr:nvGrpSpPr>
      <xdr:grpSpPr>
        <a:xfrm>
          <a:off x="8276073" y="77841"/>
          <a:ext cx="1137008" cy="562714"/>
          <a:chOff x="8283463" y="144517"/>
          <a:chExt cx="899949" cy="358994"/>
        </a:xfrm>
      </xdr:grpSpPr>
      <xdr:sp macro="[0]!Sheet2.Today__Yesterday_Click" textlink="">
        <xdr:nvSpPr>
          <xdr:cNvPr id="23" name="AutoShape 5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8283463" y="144517"/>
            <a:ext cx="899949" cy="35899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24" name="Rectangle 5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9169776" y="144517"/>
            <a:ext cx="13636" cy="35899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25" name="Rectangle 56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8283463" y="494064"/>
            <a:ext cx="886313" cy="9447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26" name="Rectangle 57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8283463" y="144517"/>
            <a:ext cx="13636" cy="34954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27" name="Rectangle 58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8297099" y="144517"/>
            <a:ext cx="872678" cy="944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28" name="Rectangle 59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9156141" y="153964"/>
            <a:ext cx="13636" cy="340100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29" name="Rectangle 60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8297099" y="484617"/>
            <a:ext cx="859042" cy="9447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30" name="Rectangle 61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8297099" y="153964"/>
            <a:ext cx="13636" cy="330652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31" name="Rectangle 6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8310734" y="153964"/>
            <a:ext cx="845407" cy="9447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2048" name="Rectangle 63">
            <a:extLst>
              <a:ext uri="{FF2B5EF4-FFF2-40B4-BE49-F238E27FC236}">
                <a16:creationId xmlns:a16="http://schemas.microsoft.com/office/drawing/2014/main" id="{00000000-0008-0000-0000-000000080000}"/>
              </a:ext>
            </a:extLst>
          </xdr:cNvPr>
          <xdr:cNvSpPr>
            <a:spLocks noChangeArrowheads="1"/>
          </xdr:cNvSpPr>
        </xdr:nvSpPr>
        <xdr:spPr bwMode="auto">
          <a:xfrm>
            <a:off x="8310734" y="163411"/>
            <a:ext cx="845407" cy="321205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2049" name="Rectangle 64">
            <a:extLst>
              <a:ext uri="{FF2B5EF4-FFF2-40B4-BE49-F238E27FC236}">
                <a16:creationId xmlns:a16="http://schemas.microsoft.com/office/drawing/2014/main" id="{00000000-0008-0000-0000-000001080000}"/>
              </a:ext>
            </a:extLst>
          </xdr:cNvPr>
          <xdr:cNvSpPr>
            <a:spLocks noChangeArrowheads="1"/>
          </xdr:cNvSpPr>
        </xdr:nvSpPr>
        <xdr:spPr bwMode="auto">
          <a:xfrm>
            <a:off x="8324370" y="172859"/>
            <a:ext cx="831771" cy="302311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Today__Yesterday_Click" textlink="">
        <xdr:nvSpPr>
          <xdr:cNvPr id="2050" name="Rectangle 65">
            <a:extLst>
              <a:ext uri="{FF2B5EF4-FFF2-40B4-BE49-F238E27FC236}">
                <a16:creationId xmlns:a16="http://schemas.microsoft.com/office/drawing/2014/main" id="{00000000-0008-0000-0000-000002080000}"/>
              </a:ext>
            </a:extLst>
          </xdr:cNvPr>
          <xdr:cNvSpPr>
            <a:spLocks noChangeArrowheads="1"/>
          </xdr:cNvSpPr>
        </xdr:nvSpPr>
        <xdr:spPr bwMode="auto">
          <a:xfrm>
            <a:off x="8310734" y="191753"/>
            <a:ext cx="872678" cy="27396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ctr">
            <a:noAutofit/>
          </a:bodyPr>
          <a:lstStyle/>
          <a:p>
            <a:pPr algn="ctr" rtl="0">
              <a:defRPr sz="1000"/>
            </a:pPr>
            <a:r>
              <a:rPr lang="en-IN" sz="12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Today + </a:t>
            </a:r>
          </a:p>
          <a:p>
            <a:pPr algn="ctr" rtl="0">
              <a:defRPr sz="1000"/>
            </a:pPr>
            <a:r>
              <a:rPr lang="en-IN" sz="12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Yesterday</a:t>
            </a:r>
            <a:endParaRPr lang="en-IN" sz="1400" b="1" i="0" u="none" strike="noStrike" baseline="0">
              <a:solidFill>
                <a:srgbClr val="000000"/>
              </a:solidFill>
              <a:latin typeface="Calibri"/>
              <a:cs typeface="Calibri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</xdr:row>
          <xdr:rowOff>19050</xdr:rowOff>
        </xdr:from>
        <xdr:to>
          <xdr:col>2</xdr:col>
          <xdr:colOff>800100</xdr:colOff>
          <xdr:row>1</xdr:row>
          <xdr:rowOff>352425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ybagemis.cybage.com/Framework/Iframe.asp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Z193"/>
  <sheetViews>
    <sheetView showGridLines="0" tabSelected="1" topLeftCell="F1" zoomScale="80" zoomScaleNormal="80" workbookViewId="0">
      <selection activeCell="P38" sqref="P38"/>
    </sheetView>
  </sheetViews>
  <sheetFormatPr defaultRowHeight="15" x14ac:dyDescent="0.25"/>
  <cols>
    <col min="1" max="1" width="12.140625" customWidth="1"/>
    <col min="2" max="2" width="15.7109375" customWidth="1"/>
    <col min="3" max="3" width="7.140625" customWidth="1"/>
    <col min="4" max="4" width="10.7109375" bestFit="1" customWidth="1"/>
    <col min="5" max="5" width="2.5703125" customWidth="1"/>
    <col min="6" max="6" width="8.7109375" customWidth="1"/>
    <col min="7" max="7" width="14.28515625" customWidth="1"/>
    <col min="8" max="8" width="15.28515625" customWidth="1"/>
    <col min="9" max="9" width="14.42578125" customWidth="1"/>
    <col min="10" max="10" width="7.42578125" customWidth="1"/>
    <col min="11" max="11" width="9.5703125" customWidth="1"/>
    <col min="12" max="12" width="13.42578125" customWidth="1"/>
    <col min="13" max="13" width="11" customWidth="1"/>
    <col min="14" max="14" width="11.7109375" customWidth="1"/>
    <col min="15" max="15" width="13.42578125" customWidth="1"/>
    <col min="16" max="16" width="15.28515625" customWidth="1"/>
    <col min="17" max="17" width="15" customWidth="1"/>
    <col min="18" max="18" width="18.140625" bestFit="1" customWidth="1"/>
    <col min="19" max="19" width="22.42578125" bestFit="1" customWidth="1"/>
    <col min="20" max="20" width="10.85546875" customWidth="1"/>
    <col min="21" max="21" width="9.7109375" customWidth="1"/>
    <col min="22" max="22" width="10.85546875" customWidth="1"/>
    <col min="23" max="23" width="11.7109375" customWidth="1"/>
    <col min="24" max="24" width="11.42578125" bestFit="1" customWidth="1"/>
    <col min="25" max="25" width="11.7109375" bestFit="1" customWidth="1"/>
    <col min="26" max="26" width="14" customWidth="1"/>
  </cols>
  <sheetData>
    <row r="1" spans="1:26" ht="15.75" x14ac:dyDescent="0.25">
      <c r="A1" s="162" t="s">
        <v>21</v>
      </c>
      <c r="B1" s="163"/>
      <c r="C1" s="163"/>
      <c r="D1" s="163"/>
      <c r="E1" s="163"/>
      <c r="O1" s="157" t="s">
        <v>56</v>
      </c>
      <c r="P1" s="135">
        <v>0</v>
      </c>
      <c r="Q1" s="158" t="s">
        <v>64</v>
      </c>
      <c r="Z1" s="2"/>
    </row>
    <row r="2" spans="1:26" ht="38.25" customHeight="1" thickBot="1" x14ac:dyDescent="0.3">
      <c r="A2" s="163" t="s">
        <v>11</v>
      </c>
      <c r="B2" s="163"/>
      <c r="C2" s="163"/>
      <c r="D2" s="163"/>
      <c r="E2" s="163"/>
      <c r="N2" s="167" t="s">
        <v>60</v>
      </c>
      <c r="O2" s="167"/>
      <c r="P2" s="137" t="str">
        <f>Q14</f>
        <v/>
      </c>
      <c r="Q2" s="138" t="s">
        <v>61</v>
      </c>
      <c r="R2" s="139" t="e">
        <f ca="1">IF(P2="Completed","Go home!",NOW()+P2)</f>
        <v>#VALUE!</v>
      </c>
    </row>
    <row r="3" spans="1:26" ht="15.75" thickBot="1" x14ac:dyDescent="0.3">
      <c r="A3" s="163" t="s">
        <v>12</v>
      </c>
      <c r="B3" s="163"/>
      <c r="C3" s="163"/>
      <c r="D3" s="163"/>
      <c r="E3" s="163"/>
      <c r="G3" s="153" t="s">
        <v>16</v>
      </c>
      <c r="H3" s="154">
        <v>23623</v>
      </c>
      <c r="N3" s="160">
        <v>1.6666666666666667</v>
      </c>
      <c r="O3" s="160">
        <v>1</v>
      </c>
      <c r="P3" s="96">
        <v>0.33333333333333331</v>
      </c>
      <c r="Q3" s="96">
        <v>0.25</v>
      </c>
      <c r="R3" s="128"/>
    </row>
    <row r="4" spans="1:26" ht="60" x14ac:dyDescent="0.25">
      <c r="A4" s="163" t="s">
        <v>13</v>
      </c>
      <c r="B4" s="163"/>
      <c r="C4" s="163"/>
      <c r="D4" s="163"/>
      <c r="E4" s="163"/>
      <c r="G4" s="131" t="s">
        <v>18</v>
      </c>
      <c r="H4" s="132" t="s">
        <v>17</v>
      </c>
      <c r="I4" s="131" t="s">
        <v>20</v>
      </c>
      <c r="J4" s="131" t="s">
        <v>48</v>
      </c>
      <c r="K4" s="131" t="s">
        <v>62</v>
      </c>
      <c r="L4" s="132" t="s">
        <v>63</v>
      </c>
      <c r="M4" s="131" t="s">
        <v>19</v>
      </c>
      <c r="N4" s="131" t="s">
        <v>54</v>
      </c>
      <c r="O4" s="132" t="s">
        <v>55</v>
      </c>
      <c r="P4" s="131" t="s">
        <v>59</v>
      </c>
      <c r="Q4" s="132" t="s">
        <v>58</v>
      </c>
    </row>
    <row r="5" spans="1:26" x14ac:dyDescent="0.25">
      <c r="A5" s="163" t="s">
        <v>14</v>
      </c>
      <c r="B5" s="163"/>
      <c r="C5" s="163"/>
      <c r="D5" s="163"/>
      <c r="E5" s="164"/>
      <c r="F5" t="str">
        <f>TEXT("Week 1","@")</f>
        <v>Week 1</v>
      </c>
      <c r="G5" s="155">
        <f t="shared" ref="G5:G42" si="0">IF(H5="","",WEEKDAY((H5)))</f>
        <v>4</v>
      </c>
      <c r="H5" s="133">
        <v>45413</v>
      </c>
      <c r="I5" s="140">
        <v>0</v>
      </c>
      <c r="J5" s="141"/>
      <c r="K5" s="146">
        <v>0</v>
      </c>
      <c r="L5" s="142">
        <v>0</v>
      </c>
      <c r="M5" s="143">
        <f t="shared" ref="M5:M35" si="1">IF(I5 &lt;&gt; "", I5+J5, IF(J5 &lt;&gt; "", I5+J5, ""))</f>
        <v>0</v>
      </c>
      <c r="N5" s="144" t="str">
        <f>IFERROR(IF(SEARCH(1,G5,1)=1,SUM(M5:M12),""),"")</f>
        <v/>
      </c>
      <c r="O5" s="145" t="str">
        <f>IFERROR(IF(SEARCH(1,G5,1)=1,SUM(K5:K12),""),"")</f>
        <v/>
      </c>
      <c r="P5" s="161" t="str">
        <f>IFERROR(IF($N$3-N5&lt;=0,"Completed",$N$3-N5),"")</f>
        <v/>
      </c>
      <c r="Q5" s="145" t="str">
        <f>IFERROR(IF($O$3-O5&lt;=0,"Completed",$O$3-O5),"")</f>
        <v/>
      </c>
    </row>
    <row r="6" spans="1:26" x14ac:dyDescent="0.25">
      <c r="A6" s="163" t="s">
        <v>15</v>
      </c>
      <c r="B6" s="163"/>
      <c r="C6" s="163"/>
      <c r="D6" s="163"/>
      <c r="E6" s="164"/>
      <c r="F6" t="str">
        <f>IF(G6=1,"Week " &amp;COUNTIF($G$6:$G6,1) + 1,"")</f>
        <v/>
      </c>
      <c r="G6" s="155">
        <f t="shared" si="0"/>
        <v>5</v>
      </c>
      <c r="H6" s="133">
        <v>45414</v>
      </c>
      <c r="I6" s="140">
        <v>0.32361111111111113</v>
      </c>
      <c r="J6" s="141"/>
      <c r="K6" s="146">
        <v>0</v>
      </c>
      <c r="L6" s="142">
        <v>0.32361111111111113</v>
      </c>
      <c r="M6" s="143">
        <f t="shared" si="1"/>
        <v>0.32361111111111113</v>
      </c>
      <c r="N6" s="144" t="str">
        <f>IFERROR(IF(SEARCH(1,G6,1)=1,SUM(M6:M13),""),"")</f>
        <v/>
      </c>
      <c r="O6" s="145" t="str">
        <f>IFERROR(IF(SEARCH(1,G6,1)=1,SUM(K6:K13),""),"")</f>
        <v/>
      </c>
      <c r="P6" s="161" t="str">
        <f>IFERROR(IF($N$3-N6&lt;=0,"Completed",$N$3-N6),"")</f>
        <v/>
      </c>
      <c r="Q6" s="145" t="str">
        <f>IFERROR(IF($O$3-O6&lt;=0,"Completed",$O$3-O6),"")</f>
        <v/>
      </c>
    </row>
    <row r="7" spans="1:26" x14ac:dyDescent="0.25">
      <c r="A7" s="163" t="s">
        <v>41</v>
      </c>
      <c r="B7" s="163"/>
      <c r="C7" s="163"/>
      <c r="D7" s="163"/>
      <c r="E7" s="164"/>
      <c r="F7" t="str">
        <f>IF(G7=1,"Week " &amp;COUNTIF($G$6:$G7,1) + 1,"")</f>
        <v/>
      </c>
      <c r="G7" s="155">
        <f t="shared" si="0"/>
        <v>6</v>
      </c>
      <c r="H7" s="133">
        <v>45415</v>
      </c>
      <c r="I7" s="140">
        <v>0.33124999999999999</v>
      </c>
      <c r="J7" s="141"/>
      <c r="K7" s="146">
        <v>0</v>
      </c>
      <c r="L7" s="142">
        <v>0.33124999999999999</v>
      </c>
      <c r="M7" s="143">
        <f t="shared" si="1"/>
        <v>0.33124999999999999</v>
      </c>
      <c r="N7" s="144" t="str">
        <f>IFERROR(IF(SEARCH(1,G7,1)=1,SUM(M7:M14),""),"")</f>
        <v/>
      </c>
      <c r="O7" s="145" t="str">
        <f>IFERROR(IF(SEARCH(1,G7,1)=1,SUM(K7:K14),""),"")</f>
        <v/>
      </c>
      <c r="P7" s="161" t="str">
        <f>IFERROR(IF($N$3-N7&lt;=0,"Completed",$N$3-N7),"")</f>
        <v/>
      </c>
      <c r="Q7" s="145" t="str">
        <f>IFERROR(IF($O$3-O7&lt;=0,"Completed",$O$3-O7),"")</f>
        <v/>
      </c>
      <c r="R7" s="128"/>
    </row>
    <row r="8" spans="1:26" x14ac:dyDescent="0.25">
      <c r="E8" s="49"/>
      <c r="F8" t="str">
        <f>IF(G8=1,"Week " &amp;COUNTIF($G$6:$G8,1) + 1,"")</f>
        <v/>
      </c>
      <c r="G8" s="155">
        <f t="shared" si="0"/>
        <v>7</v>
      </c>
      <c r="H8" s="133">
        <v>45416</v>
      </c>
      <c r="I8" s="140">
        <v>0</v>
      </c>
      <c r="J8" s="141"/>
      <c r="K8" s="146">
        <v>0</v>
      </c>
      <c r="L8" s="142">
        <v>0</v>
      </c>
      <c r="M8" s="143">
        <f t="shared" si="1"/>
        <v>0</v>
      </c>
      <c r="N8" s="144" t="str">
        <f t="shared" ref="N8:N42" si="2">IFERROR(IF(SEARCH(1,G8,1)=1,SUM(M8:M15),""),"")</f>
        <v/>
      </c>
      <c r="O8" s="145" t="str">
        <f t="shared" ref="O8:O42" si="3">IFERROR(IF(SEARCH(1,G8,1)=1,SUM(K8:K15),""),"")</f>
        <v/>
      </c>
      <c r="P8" s="161" t="str">
        <f t="shared" ref="P8:P42" si="4">IFERROR(IF($N$3-N8&lt;=0,"Completed",$N$3-N8),"")</f>
        <v/>
      </c>
      <c r="Q8" s="145" t="str">
        <f t="shared" ref="Q8:Q41" si="5">IFERROR(IF($O$3-O8&lt;=0,"Completed",$O$3-O8),"")</f>
        <v/>
      </c>
    </row>
    <row r="9" spans="1:26" x14ac:dyDescent="0.25">
      <c r="E9" s="49"/>
      <c r="F9" t="str">
        <f>IF(G9=1,"Week " &amp;COUNTIF($G$6:$G9,1) + 1,"")</f>
        <v>Week 2</v>
      </c>
      <c r="G9" s="155">
        <f t="shared" si="0"/>
        <v>1</v>
      </c>
      <c r="H9" s="133">
        <v>45417</v>
      </c>
      <c r="I9" s="140">
        <v>0</v>
      </c>
      <c r="J9" s="141"/>
      <c r="K9" s="146">
        <v>0</v>
      </c>
      <c r="L9" s="142">
        <v>0</v>
      </c>
      <c r="M9" s="143">
        <f t="shared" si="1"/>
        <v>0</v>
      </c>
      <c r="N9" s="144">
        <f t="shared" si="2"/>
        <v>1.9756944444444444</v>
      </c>
      <c r="O9" s="145">
        <f t="shared" si="3"/>
        <v>1.026388888888889</v>
      </c>
      <c r="P9" s="161" t="str">
        <f t="shared" si="4"/>
        <v>Completed</v>
      </c>
      <c r="Q9" s="145" t="str">
        <f t="shared" si="5"/>
        <v>Completed</v>
      </c>
    </row>
    <row r="10" spans="1:26" x14ac:dyDescent="0.25">
      <c r="E10" s="49"/>
      <c r="F10" t="str">
        <f>IF(G10=1,"Week " &amp;COUNTIF($G$6:$G10,1) + 1,"")</f>
        <v/>
      </c>
      <c r="G10" s="155">
        <f t="shared" si="0"/>
        <v>2</v>
      </c>
      <c r="H10" s="133">
        <v>45418</v>
      </c>
      <c r="I10" s="140">
        <v>0.33333333333333331</v>
      </c>
      <c r="J10" s="141"/>
      <c r="K10" s="146">
        <v>0</v>
      </c>
      <c r="L10" s="142">
        <v>0.38194444444444442</v>
      </c>
      <c r="M10" s="143">
        <f t="shared" si="1"/>
        <v>0.33333333333333331</v>
      </c>
      <c r="N10" s="144" t="str">
        <f t="shared" si="2"/>
        <v/>
      </c>
      <c r="O10" s="145" t="str">
        <f t="shared" si="3"/>
        <v/>
      </c>
      <c r="P10" s="161" t="str">
        <f t="shared" si="4"/>
        <v/>
      </c>
      <c r="Q10" s="145" t="str">
        <f t="shared" si="5"/>
        <v/>
      </c>
    </row>
    <row r="11" spans="1:26" x14ac:dyDescent="0.25">
      <c r="E11" s="49"/>
      <c r="F11" t="str">
        <f>IF(G11=1,"Week " &amp;COUNTIF($G$6:$G11,1) + 1,"")</f>
        <v/>
      </c>
      <c r="G11" s="155">
        <f t="shared" si="0"/>
        <v>3</v>
      </c>
      <c r="H11" s="133">
        <v>45419</v>
      </c>
      <c r="I11" s="140">
        <v>0.28541666666666665</v>
      </c>
      <c r="J11" s="141"/>
      <c r="K11" s="146">
        <v>0</v>
      </c>
      <c r="L11" s="142">
        <v>0.28541666666666665</v>
      </c>
      <c r="M11" s="143">
        <f t="shared" si="1"/>
        <v>0.28541666666666665</v>
      </c>
      <c r="N11" s="144" t="str">
        <f t="shared" si="2"/>
        <v/>
      </c>
      <c r="O11" s="145" t="str">
        <f t="shared" si="3"/>
        <v/>
      </c>
      <c r="P11" s="161" t="str">
        <f t="shared" si="4"/>
        <v/>
      </c>
      <c r="Q11" s="145" t="str">
        <f t="shared" si="5"/>
        <v/>
      </c>
    </row>
    <row r="12" spans="1:26" x14ac:dyDescent="0.25">
      <c r="E12" s="49"/>
      <c r="F12" t="str">
        <f>IF(G12=1,"Week " &amp;COUNTIF($G$6:$G12,1) + 1,"")</f>
        <v/>
      </c>
      <c r="G12" s="155">
        <f t="shared" si="0"/>
        <v>4</v>
      </c>
      <c r="H12" s="133">
        <v>45420</v>
      </c>
      <c r="I12" s="140">
        <v>0.3833333333333333</v>
      </c>
      <c r="J12" s="141"/>
      <c r="K12" s="146">
        <v>0.3833333333333333</v>
      </c>
      <c r="L12" s="142">
        <v>0</v>
      </c>
      <c r="M12" s="143">
        <f>IF(I12 &lt;&gt; "", I12+J12, IF(J12 &lt;&gt; "", I12+J12, ""))</f>
        <v>0.3833333333333333</v>
      </c>
      <c r="N12" s="144" t="str">
        <f t="shared" si="2"/>
        <v/>
      </c>
      <c r="O12" s="145" t="str">
        <f t="shared" si="3"/>
        <v/>
      </c>
      <c r="P12" s="161" t="str">
        <f t="shared" si="4"/>
        <v/>
      </c>
      <c r="Q12" s="145" t="str">
        <f t="shared" si="5"/>
        <v/>
      </c>
    </row>
    <row r="13" spans="1:26" x14ac:dyDescent="0.25">
      <c r="E13" s="49"/>
      <c r="F13" t="str">
        <f>IF(G13=1,"Week " &amp;COUNTIF($G$6:$G13,1) + 1,"")</f>
        <v/>
      </c>
      <c r="G13" s="155">
        <f t="shared" si="0"/>
        <v>5</v>
      </c>
      <c r="H13" s="133">
        <v>45421</v>
      </c>
      <c r="I13" s="140">
        <v>0.38819444444444445</v>
      </c>
      <c r="J13" s="141"/>
      <c r="K13" s="146">
        <v>0.38819444444444445</v>
      </c>
      <c r="L13" s="142">
        <v>0</v>
      </c>
      <c r="M13" s="143">
        <f t="shared" si="1"/>
        <v>0.38819444444444445</v>
      </c>
      <c r="N13" s="144" t="str">
        <f t="shared" si="2"/>
        <v/>
      </c>
      <c r="O13" s="145" t="str">
        <f t="shared" si="3"/>
        <v/>
      </c>
      <c r="P13" s="161" t="str">
        <f t="shared" si="4"/>
        <v/>
      </c>
      <c r="Q13" s="145" t="str">
        <f t="shared" si="5"/>
        <v/>
      </c>
    </row>
    <row r="14" spans="1:26" x14ac:dyDescent="0.25">
      <c r="E14" s="49"/>
      <c r="F14" t="str">
        <f>IF(G14=1,"Week " &amp;COUNTIF($G$6:$G14,1) + 1,"")</f>
        <v/>
      </c>
      <c r="G14" s="155">
        <f t="shared" si="0"/>
        <v>6</v>
      </c>
      <c r="H14" s="133">
        <v>45422</v>
      </c>
      <c r="I14" s="140">
        <v>0.25694444444444448</v>
      </c>
      <c r="J14" s="141"/>
      <c r="K14" s="146">
        <v>0.25486111111111109</v>
      </c>
      <c r="L14" s="142">
        <v>2.0833333333333333E-3</v>
      </c>
      <c r="M14" s="143">
        <f t="shared" si="1"/>
        <v>0.25694444444444448</v>
      </c>
      <c r="N14" s="144" t="str">
        <f t="shared" si="2"/>
        <v/>
      </c>
      <c r="O14" s="145" t="str">
        <f t="shared" si="3"/>
        <v/>
      </c>
      <c r="P14" s="161" t="str">
        <f t="shared" si="4"/>
        <v/>
      </c>
      <c r="Q14" s="145" t="str">
        <f t="shared" si="5"/>
        <v/>
      </c>
    </row>
    <row r="15" spans="1:26" x14ac:dyDescent="0.25">
      <c r="E15" s="49"/>
      <c r="F15" t="str">
        <f>IF(G15=1,"Week " &amp;COUNTIF($G$6:$G15,1) + 1,"")</f>
        <v/>
      </c>
      <c r="G15" s="155">
        <f t="shared" si="0"/>
        <v>7</v>
      </c>
      <c r="H15" s="133">
        <v>45423</v>
      </c>
      <c r="I15" s="140">
        <v>0.32847222222222222</v>
      </c>
      <c r="J15" s="141"/>
      <c r="K15" s="146">
        <v>0</v>
      </c>
      <c r="L15" s="147">
        <v>0.32847222222222222</v>
      </c>
      <c r="M15" s="143">
        <f t="shared" si="1"/>
        <v>0.32847222222222222</v>
      </c>
      <c r="N15" s="144" t="str">
        <f t="shared" si="2"/>
        <v/>
      </c>
      <c r="O15" s="145" t="str">
        <f t="shared" si="3"/>
        <v/>
      </c>
      <c r="P15" s="161" t="str">
        <f t="shared" si="4"/>
        <v/>
      </c>
      <c r="Q15" s="145" t="str">
        <f t="shared" si="5"/>
        <v/>
      </c>
    </row>
    <row r="16" spans="1:26" x14ac:dyDescent="0.25">
      <c r="E16" s="49"/>
      <c r="F16" t="str">
        <f>IF(G16=1,"Week " &amp;COUNTIF($G$6:$G16,1) + 1,"")</f>
        <v>Week 3</v>
      </c>
      <c r="G16" s="155">
        <f t="shared" si="0"/>
        <v>1</v>
      </c>
      <c r="H16" s="133">
        <v>45424</v>
      </c>
      <c r="I16" s="140">
        <v>0</v>
      </c>
      <c r="J16" s="141"/>
      <c r="K16" s="146">
        <v>0</v>
      </c>
      <c r="L16" s="147">
        <v>0</v>
      </c>
      <c r="M16" s="143">
        <f t="shared" si="1"/>
        <v>0</v>
      </c>
      <c r="N16" s="144">
        <f t="shared" si="2"/>
        <v>1.3291666666666666</v>
      </c>
      <c r="O16" s="145">
        <f t="shared" si="3"/>
        <v>0.70208333333333339</v>
      </c>
      <c r="P16" s="161">
        <f t="shared" si="4"/>
        <v>0.33750000000000013</v>
      </c>
      <c r="Q16" s="145">
        <f t="shared" si="5"/>
        <v>0.29791666666666661</v>
      </c>
    </row>
    <row r="17" spans="2:18" x14ac:dyDescent="0.25">
      <c r="E17" s="49"/>
      <c r="F17" t="str">
        <f>IF(G17=1,"Week " &amp;COUNTIF($G$6:$G17,1) + 1,"")</f>
        <v/>
      </c>
      <c r="G17" s="155">
        <f t="shared" si="0"/>
        <v>2</v>
      </c>
      <c r="H17" s="133">
        <v>45425</v>
      </c>
      <c r="I17" s="140">
        <v>0</v>
      </c>
      <c r="J17" s="141"/>
      <c r="K17" s="146">
        <v>0</v>
      </c>
      <c r="L17" s="146">
        <v>0</v>
      </c>
      <c r="M17" s="143">
        <f t="shared" si="1"/>
        <v>0</v>
      </c>
      <c r="N17" s="144" t="str">
        <f t="shared" si="2"/>
        <v/>
      </c>
      <c r="O17" s="145" t="str">
        <f t="shared" si="3"/>
        <v/>
      </c>
      <c r="P17" s="161" t="str">
        <f t="shared" si="4"/>
        <v/>
      </c>
      <c r="Q17" s="145" t="str">
        <f t="shared" si="5"/>
        <v/>
      </c>
      <c r="R17" s="128"/>
    </row>
    <row r="18" spans="2:18" x14ac:dyDescent="0.25">
      <c r="E18" s="49"/>
      <c r="F18" t="str">
        <f>IF(G18=1,"Week " &amp;COUNTIF($G$6:$G18,1) + 1,"")</f>
        <v/>
      </c>
      <c r="G18" s="155">
        <f t="shared" si="0"/>
        <v>3</v>
      </c>
      <c r="H18" s="133">
        <v>45426</v>
      </c>
      <c r="I18" s="140">
        <v>0.31111111111111112</v>
      </c>
      <c r="J18" s="141"/>
      <c r="K18" s="146">
        <v>0</v>
      </c>
      <c r="L18" s="142">
        <v>0.31111111111111112</v>
      </c>
      <c r="M18" s="143">
        <f t="shared" si="1"/>
        <v>0.31111111111111112</v>
      </c>
      <c r="N18" s="144" t="str">
        <f t="shared" si="2"/>
        <v/>
      </c>
      <c r="O18" s="145" t="str">
        <f t="shared" si="3"/>
        <v/>
      </c>
      <c r="P18" s="161" t="str">
        <f t="shared" si="4"/>
        <v/>
      </c>
      <c r="Q18" s="145" t="str">
        <f t="shared" si="5"/>
        <v/>
      </c>
    </row>
    <row r="19" spans="2:18" x14ac:dyDescent="0.25">
      <c r="E19" s="49"/>
      <c r="F19" t="str">
        <f>IF(G19=1,"Week " &amp;COUNTIF($G$6:$G19,1) + 1,"")</f>
        <v/>
      </c>
      <c r="G19" s="155">
        <f t="shared" si="0"/>
        <v>4</v>
      </c>
      <c r="H19" s="133">
        <v>45427</v>
      </c>
      <c r="I19" s="140">
        <v>0.31597222222222221</v>
      </c>
      <c r="J19" s="141"/>
      <c r="K19" s="146">
        <v>0</v>
      </c>
      <c r="L19" s="142">
        <v>0.31597222222222221</v>
      </c>
      <c r="M19" s="143">
        <f t="shared" si="1"/>
        <v>0.31597222222222221</v>
      </c>
      <c r="N19" s="144" t="str">
        <f t="shared" si="2"/>
        <v/>
      </c>
      <c r="O19" s="145" t="str">
        <f t="shared" si="3"/>
        <v/>
      </c>
      <c r="P19" s="161" t="str">
        <f t="shared" si="4"/>
        <v/>
      </c>
      <c r="Q19" s="145" t="str">
        <f t="shared" si="5"/>
        <v/>
      </c>
    </row>
    <row r="20" spans="2:18" x14ac:dyDescent="0.25">
      <c r="E20" s="49"/>
      <c r="F20" t="str">
        <f>IF(G20=1,"Week " &amp;COUNTIF($G$6:$G20,1) + 1,"")</f>
        <v/>
      </c>
      <c r="G20" s="155">
        <f t="shared" si="0"/>
        <v>5</v>
      </c>
      <c r="H20" s="133">
        <v>45428</v>
      </c>
      <c r="I20" s="140">
        <v>0.3756944444444445</v>
      </c>
      <c r="J20" s="141"/>
      <c r="K20" s="146">
        <v>0.3756944444444445</v>
      </c>
      <c r="L20" s="142">
        <v>0</v>
      </c>
      <c r="M20" s="143">
        <f t="shared" si="1"/>
        <v>0.3756944444444445</v>
      </c>
      <c r="N20" s="144" t="str">
        <f t="shared" si="2"/>
        <v/>
      </c>
      <c r="O20" s="145" t="str">
        <f t="shared" si="3"/>
        <v/>
      </c>
      <c r="P20" s="161" t="str">
        <f t="shared" si="4"/>
        <v/>
      </c>
      <c r="Q20" s="145" t="str">
        <f t="shared" si="5"/>
        <v/>
      </c>
    </row>
    <row r="21" spans="2:18" x14ac:dyDescent="0.25">
      <c r="E21" s="49"/>
      <c r="F21" t="str">
        <f>IF(G21=1,"Week " &amp;COUNTIF($G$6:$G21,1) + 1,"")</f>
        <v/>
      </c>
      <c r="G21" s="155">
        <f t="shared" si="0"/>
        <v>6</v>
      </c>
      <c r="H21" s="133">
        <v>45429</v>
      </c>
      <c r="I21" s="140">
        <v>0.3263888888888889</v>
      </c>
      <c r="J21" s="141"/>
      <c r="K21" s="146">
        <v>0.3263888888888889</v>
      </c>
      <c r="L21" s="142">
        <v>0</v>
      </c>
      <c r="M21" s="143">
        <f t="shared" si="1"/>
        <v>0.3263888888888889</v>
      </c>
      <c r="N21" s="144" t="str">
        <f t="shared" si="2"/>
        <v/>
      </c>
      <c r="O21" s="145" t="str">
        <f t="shared" si="3"/>
        <v/>
      </c>
      <c r="P21" s="161" t="str">
        <f t="shared" si="4"/>
        <v/>
      </c>
      <c r="Q21" s="145" t="str">
        <f t="shared" si="5"/>
        <v/>
      </c>
    </row>
    <row r="22" spans="2:18" x14ac:dyDescent="0.25">
      <c r="E22" s="49"/>
      <c r="F22" t="str">
        <f>IF(G22=1,"Week " &amp;COUNTIF($G$6:$G22,1) + 1,"")</f>
        <v/>
      </c>
      <c r="G22" s="155">
        <f t="shared" si="0"/>
        <v>7</v>
      </c>
      <c r="H22" s="133">
        <v>45430</v>
      </c>
      <c r="I22" s="140">
        <v>0</v>
      </c>
      <c r="J22" s="141"/>
      <c r="K22" s="146">
        <v>0</v>
      </c>
      <c r="L22" s="159">
        <v>0</v>
      </c>
      <c r="M22" s="143">
        <f t="shared" si="1"/>
        <v>0</v>
      </c>
      <c r="N22" s="144" t="str">
        <f t="shared" si="2"/>
        <v/>
      </c>
      <c r="O22" s="145" t="str">
        <f t="shared" si="3"/>
        <v/>
      </c>
      <c r="P22" s="161" t="str">
        <f t="shared" si="4"/>
        <v/>
      </c>
      <c r="Q22" s="145" t="str">
        <f t="shared" si="5"/>
        <v/>
      </c>
    </row>
    <row r="23" spans="2:18" x14ac:dyDescent="0.25">
      <c r="E23" s="49"/>
      <c r="F23" t="str">
        <f>IF(G23=1,"Week " &amp;COUNTIF($G$6:$G23,1) + 1,"")</f>
        <v>Week 4</v>
      </c>
      <c r="G23" s="155">
        <f t="shared" si="0"/>
        <v>1</v>
      </c>
      <c r="H23" s="133">
        <v>45431</v>
      </c>
      <c r="I23" s="140">
        <v>0</v>
      </c>
      <c r="J23" s="141"/>
      <c r="K23" s="146">
        <v>0</v>
      </c>
      <c r="L23" s="142">
        <v>0</v>
      </c>
      <c r="M23" s="143">
        <f t="shared" si="1"/>
        <v>0</v>
      </c>
      <c r="N23" s="144">
        <f t="shared" si="2"/>
        <v>1.6270833333333332</v>
      </c>
      <c r="O23" s="145">
        <f t="shared" si="3"/>
        <v>0.89166666666666661</v>
      </c>
      <c r="P23" s="161">
        <f t="shared" si="4"/>
        <v>3.9583333333333526E-2</v>
      </c>
      <c r="Q23" s="145">
        <f t="shared" si="5"/>
        <v>0.10833333333333339</v>
      </c>
    </row>
    <row r="24" spans="2:18" x14ac:dyDescent="0.25">
      <c r="E24" s="49"/>
      <c r="F24" t="str">
        <f>IF(G24=1,"Week " &amp;COUNTIF($G$6:$G24,1) + 1,"")</f>
        <v/>
      </c>
      <c r="G24" s="155">
        <f t="shared" si="0"/>
        <v>2</v>
      </c>
      <c r="H24" s="133">
        <v>45432</v>
      </c>
      <c r="I24" s="140">
        <v>0.31805555555555554</v>
      </c>
      <c r="J24" s="141"/>
      <c r="K24" s="146">
        <v>0</v>
      </c>
      <c r="L24" s="142">
        <v>0.31805555555555554</v>
      </c>
      <c r="M24" s="143">
        <f t="shared" si="1"/>
        <v>0.31805555555555554</v>
      </c>
      <c r="N24" s="144" t="str">
        <f t="shared" si="2"/>
        <v/>
      </c>
      <c r="O24" s="145" t="str">
        <f t="shared" si="3"/>
        <v/>
      </c>
      <c r="P24" s="161" t="str">
        <f t="shared" si="4"/>
        <v/>
      </c>
      <c r="Q24" s="145" t="str">
        <f t="shared" si="5"/>
        <v/>
      </c>
    </row>
    <row r="25" spans="2:18" x14ac:dyDescent="0.25">
      <c r="E25" s="49"/>
      <c r="F25" t="str">
        <f>IF(G25=1,"Week " &amp;COUNTIF($G$6:$G25,1) + 1,"")</f>
        <v/>
      </c>
      <c r="G25" s="155">
        <f t="shared" si="0"/>
        <v>3</v>
      </c>
      <c r="H25" s="133">
        <v>45433</v>
      </c>
      <c r="I25" s="140">
        <v>0.33333333333333331</v>
      </c>
      <c r="J25" s="141"/>
      <c r="K25" s="146">
        <v>0</v>
      </c>
      <c r="L25" s="142">
        <v>0.3527777777777778</v>
      </c>
      <c r="M25" s="143">
        <f t="shared" si="1"/>
        <v>0.33333333333333331</v>
      </c>
      <c r="N25" s="144" t="str">
        <f t="shared" si="2"/>
        <v/>
      </c>
      <c r="O25" s="145" t="str">
        <f t="shared" si="3"/>
        <v/>
      </c>
      <c r="P25" s="161" t="str">
        <f t="shared" si="4"/>
        <v/>
      </c>
      <c r="Q25" s="145" t="str">
        <f t="shared" si="5"/>
        <v/>
      </c>
    </row>
    <row r="26" spans="2:18" x14ac:dyDescent="0.25">
      <c r="E26" s="49"/>
      <c r="F26" t="str">
        <f>IF(G26=1,"Week " &amp;COUNTIF($G$6:$G26,1) + 1,"")</f>
        <v/>
      </c>
      <c r="G26" s="155">
        <f t="shared" si="0"/>
        <v>4</v>
      </c>
      <c r="H26" s="133">
        <v>45434</v>
      </c>
      <c r="I26" s="140">
        <v>0.31805555555555554</v>
      </c>
      <c r="J26" s="141"/>
      <c r="K26" s="146">
        <v>0.31805555555555554</v>
      </c>
      <c r="L26" s="142">
        <v>0</v>
      </c>
      <c r="M26" s="143">
        <f t="shared" si="1"/>
        <v>0.31805555555555554</v>
      </c>
      <c r="N26" s="144" t="str">
        <f t="shared" si="2"/>
        <v/>
      </c>
      <c r="O26" s="145" t="str">
        <f t="shared" si="3"/>
        <v/>
      </c>
      <c r="P26" s="161" t="str">
        <f t="shared" si="4"/>
        <v/>
      </c>
      <c r="Q26" s="145" t="str">
        <f t="shared" si="5"/>
        <v/>
      </c>
    </row>
    <row r="27" spans="2:18" x14ac:dyDescent="0.25">
      <c r="E27" s="49"/>
      <c r="F27" t="str">
        <f>IF(G27=1,"Week " &amp;COUNTIF($G$6:$G27,1) + 1,"")</f>
        <v/>
      </c>
      <c r="G27" s="155">
        <f t="shared" si="0"/>
        <v>5</v>
      </c>
      <c r="H27" s="133">
        <v>45435</v>
      </c>
      <c r="I27" s="140">
        <v>0.3840277777777778</v>
      </c>
      <c r="J27" s="141"/>
      <c r="K27" s="146">
        <v>0.31666666666666665</v>
      </c>
      <c r="L27" s="142">
        <v>6.7361111111111108E-2</v>
      </c>
      <c r="M27" s="143">
        <f t="shared" si="1"/>
        <v>0.3840277777777778</v>
      </c>
      <c r="N27" s="144" t="str">
        <f t="shared" si="2"/>
        <v/>
      </c>
      <c r="O27" s="145" t="str">
        <f t="shared" si="3"/>
        <v/>
      </c>
      <c r="P27" s="161" t="str">
        <f t="shared" si="4"/>
        <v/>
      </c>
      <c r="Q27" s="145" t="str">
        <f t="shared" si="5"/>
        <v/>
      </c>
    </row>
    <row r="28" spans="2:18" x14ac:dyDescent="0.25">
      <c r="E28" s="49"/>
      <c r="F28" t="str">
        <f>IF(G28=1,"Week " &amp;COUNTIF($G$6:$G28,1) + 1,"")</f>
        <v/>
      </c>
      <c r="G28" s="155">
        <f t="shared" si="0"/>
        <v>6</v>
      </c>
      <c r="H28" s="133">
        <v>45436</v>
      </c>
      <c r="I28" s="140">
        <v>0.27361111111111108</v>
      </c>
      <c r="J28" s="141"/>
      <c r="K28" s="146">
        <v>0.25694444444444448</v>
      </c>
      <c r="L28" s="142">
        <v>1.6666666666666666E-2</v>
      </c>
      <c r="M28" s="143">
        <f t="shared" si="1"/>
        <v>0.27361111111111108</v>
      </c>
      <c r="N28" s="144" t="str">
        <f t="shared" si="2"/>
        <v/>
      </c>
      <c r="O28" s="145" t="str">
        <f t="shared" si="3"/>
        <v/>
      </c>
      <c r="P28" s="161" t="str">
        <f t="shared" si="4"/>
        <v/>
      </c>
      <c r="Q28" s="145" t="str">
        <f t="shared" si="5"/>
        <v/>
      </c>
    </row>
    <row r="29" spans="2:18" x14ac:dyDescent="0.25">
      <c r="E29" s="49"/>
      <c r="F29" t="str">
        <f>IF(G29=1,"Week " &amp;COUNTIF($G$6:$G29,1) + 1,"")</f>
        <v/>
      </c>
      <c r="G29" s="155">
        <f t="shared" si="0"/>
        <v>7</v>
      </c>
      <c r="H29" s="133">
        <v>45437</v>
      </c>
      <c r="I29" s="140">
        <v>0</v>
      </c>
      <c r="J29" s="141"/>
      <c r="K29" s="146">
        <v>0</v>
      </c>
      <c r="L29" s="142">
        <v>0</v>
      </c>
      <c r="M29" s="143">
        <f t="shared" si="1"/>
        <v>0</v>
      </c>
      <c r="N29" s="144" t="str">
        <f t="shared" si="2"/>
        <v/>
      </c>
      <c r="O29" s="145" t="str">
        <f t="shared" si="3"/>
        <v/>
      </c>
      <c r="P29" s="161" t="str">
        <f t="shared" si="4"/>
        <v/>
      </c>
      <c r="Q29" s="145" t="str">
        <f t="shared" si="5"/>
        <v/>
      </c>
    </row>
    <row r="30" spans="2:18" x14ac:dyDescent="0.25">
      <c r="B30" s="116"/>
      <c r="E30" s="49"/>
      <c r="F30" t="str">
        <f>IF(G30=1,"Week " &amp;COUNTIF($G$6:$G30,1) + 1,"")</f>
        <v>Week 5</v>
      </c>
      <c r="G30" s="155">
        <f t="shared" si="0"/>
        <v>1</v>
      </c>
      <c r="H30" s="133">
        <v>45438</v>
      </c>
      <c r="I30" s="140">
        <v>0</v>
      </c>
      <c r="J30" s="141"/>
      <c r="K30" s="146">
        <v>0</v>
      </c>
      <c r="L30" s="142">
        <v>4.0972222222222222E-2</v>
      </c>
      <c r="M30" s="143">
        <f t="shared" si="1"/>
        <v>0</v>
      </c>
      <c r="N30" s="144">
        <f t="shared" si="2"/>
        <v>1.0817013888888889</v>
      </c>
      <c r="O30" s="145">
        <f t="shared" si="3"/>
        <v>0.36156250000000006</v>
      </c>
      <c r="P30" s="161">
        <f t="shared" si="4"/>
        <v>0.58496527777777785</v>
      </c>
      <c r="Q30" s="145">
        <f t="shared" si="5"/>
        <v>0.63843749999999999</v>
      </c>
    </row>
    <row r="31" spans="2:18" x14ac:dyDescent="0.25">
      <c r="E31" s="49"/>
      <c r="F31" t="str">
        <f>IF(G31=1,"Week " &amp;COUNTIF($G$6:$G31,1) + 1,"")</f>
        <v/>
      </c>
      <c r="G31" s="155">
        <f t="shared" si="0"/>
        <v>2</v>
      </c>
      <c r="H31" s="133">
        <v>45439</v>
      </c>
      <c r="I31" s="140">
        <v>0.33333333333333331</v>
      </c>
      <c r="J31" s="141"/>
      <c r="K31" s="146">
        <v>0</v>
      </c>
      <c r="L31" s="142">
        <v>0.33333333333333331</v>
      </c>
      <c r="M31" s="143">
        <f t="shared" si="1"/>
        <v>0.33333333333333331</v>
      </c>
      <c r="N31" s="144" t="str">
        <f t="shared" si="2"/>
        <v/>
      </c>
      <c r="O31" s="145" t="str">
        <f t="shared" si="3"/>
        <v/>
      </c>
      <c r="P31" s="161" t="str">
        <f t="shared" si="4"/>
        <v/>
      </c>
      <c r="Q31" s="145" t="str">
        <f t="shared" si="5"/>
        <v/>
      </c>
    </row>
    <row r="32" spans="2:18" x14ac:dyDescent="0.25">
      <c r="E32" s="49"/>
      <c r="F32" t="str">
        <f>IF(G32=1,"Week " &amp;COUNTIF($G$6:$G32,1) + 1,"")</f>
        <v/>
      </c>
      <c r="G32" s="155">
        <f t="shared" si="0"/>
        <v>3</v>
      </c>
      <c r="H32" s="133">
        <v>45440</v>
      </c>
      <c r="I32" s="140">
        <f>K32+L32</f>
        <v>0.38680555555555557</v>
      </c>
      <c r="J32" s="141"/>
      <c r="K32" s="146">
        <v>0</v>
      </c>
      <c r="L32" s="142">
        <v>0.38680555555555557</v>
      </c>
      <c r="M32" s="143">
        <f t="shared" si="1"/>
        <v>0.38680555555555557</v>
      </c>
      <c r="N32" s="144" t="str">
        <f t="shared" si="2"/>
        <v/>
      </c>
      <c r="O32" s="145" t="str">
        <f t="shared" si="3"/>
        <v/>
      </c>
      <c r="P32" s="161" t="str">
        <f t="shared" si="4"/>
        <v/>
      </c>
      <c r="Q32" s="145" t="str">
        <f t="shared" si="5"/>
        <v/>
      </c>
    </row>
    <row r="33" spans="5:17" x14ac:dyDescent="0.25">
      <c r="E33" s="49"/>
      <c r="F33" t="str">
        <f>IF(G33=1,"Week " &amp;COUNTIF($G$6:$G33,1) + 1,"")</f>
        <v/>
      </c>
      <c r="G33" s="155">
        <f t="shared" si="0"/>
        <v>4</v>
      </c>
      <c r="H33" s="133">
        <v>45441</v>
      </c>
      <c r="I33" s="140">
        <f>K33+L33</f>
        <v>0.36156250000000006</v>
      </c>
      <c r="J33" s="141"/>
      <c r="K33" s="146">
        <v>0.36156250000000006</v>
      </c>
      <c r="L33" s="142">
        <v>0</v>
      </c>
      <c r="M33" s="143">
        <f t="shared" si="1"/>
        <v>0.36156250000000006</v>
      </c>
      <c r="N33" s="144" t="str">
        <f t="shared" si="2"/>
        <v/>
      </c>
      <c r="O33" s="145" t="str">
        <f t="shared" si="3"/>
        <v/>
      </c>
      <c r="P33" s="161" t="str">
        <f t="shared" si="4"/>
        <v/>
      </c>
      <c r="Q33" s="145" t="str">
        <f t="shared" si="5"/>
        <v/>
      </c>
    </row>
    <row r="34" spans="5:17" x14ac:dyDescent="0.25">
      <c r="E34" s="49"/>
      <c r="F34" t="str">
        <f>IF(G34=1,"Week " &amp;COUNTIF($G$6:$G34,1) + 1,"")</f>
        <v/>
      </c>
      <c r="G34" s="155">
        <f t="shared" si="0"/>
        <v>5</v>
      </c>
      <c r="H34" s="133">
        <v>45442</v>
      </c>
      <c r="I34" s="140">
        <f>J34+K34+L34</f>
        <v>0</v>
      </c>
      <c r="J34" s="141"/>
      <c r="K34" s="146"/>
      <c r="L34" s="142"/>
      <c r="M34" s="143">
        <f t="shared" si="1"/>
        <v>0</v>
      </c>
      <c r="N34" s="144" t="str">
        <f t="shared" si="2"/>
        <v/>
      </c>
      <c r="O34" s="145" t="str">
        <f t="shared" si="3"/>
        <v/>
      </c>
      <c r="P34" s="161" t="str">
        <f t="shared" si="4"/>
        <v/>
      </c>
      <c r="Q34" s="145" t="str">
        <f t="shared" si="5"/>
        <v/>
      </c>
    </row>
    <row r="35" spans="5:17" x14ac:dyDescent="0.25">
      <c r="E35" s="49"/>
      <c r="F35" t="str">
        <f>IF(G35=1,"Week " &amp;COUNTIF($G$6:$G35,1) + 1,"")</f>
        <v/>
      </c>
      <c r="G35" s="155">
        <f t="shared" si="0"/>
        <v>6</v>
      </c>
      <c r="H35" s="133">
        <v>45443</v>
      </c>
      <c r="I35" s="140">
        <f>J35+K35+L35</f>
        <v>0</v>
      </c>
      <c r="J35" s="141"/>
      <c r="K35" s="146"/>
      <c r="L35" s="142"/>
      <c r="M35" s="143">
        <f t="shared" si="1"/>
        <v>0</v>
      </c>
      <c r="N35" s="144" t="str">
        <f t="shared" si="2"/>
        <v/>
      </c>
      <c r="O35" s="145" t="str">
        <f t="shared" si="3"/>
        <v/>
      </c>
      <c r="P35" s="161" t="str">
        <f t="shared" si="4"/>
        <v/>
      </c>
      <c r="Q35" s="145" t="str">
        <f t="shared" si="5"/>
        <v/>
      </c>
    </row>
    <row r="36" spans="5:17" x14ac:dyDescent="0.25">
      <c r="E36" s="49"/>
      <c r="G36" s="155"/>
      <c r="H36" s="133"/>
      <c r="I36" s="148"/>
      <c r="J36" s="141"/>
      <c r="K36" s="141"/>
      <c r="L36" s="142"/>
      <c r="M36" s="143"/>
      <c r="N36" s="144" t="str">
        <f t="shared" si="2"/>
        <v/>
      </c>
      <c r="O36" s="145" t="str">
        <f t="shared" si="3"/>
        <v/>
      </c>
      <c r="P36" s="161" t="str">
        <f t="shared" si="4"/>
        <v/>
      </c>
      <c r="Q36" s="145" t="str">
        <f t="shared" si="5"/>
        <v/>
      </c>
    </row>
    <row r="37" spans="5:17" x14ac:dyDescent="0.25">
      <c r="E37" s="49"/>
      <c r="F37" t="str">
        <f>IF(G37=1,"Week " &amp;COUNTIF($G$6:$G37,1) + 1,"")</f>
        <v/>
      </c>
      <c r="G37" s="155" t="str">
        <f t="shared" si="0"/>
        <v/>
      </c>
      <c r="H37" s="133"/>
      <c r="I37" s="140"/>
      <c r="J37" s="141"/>
      <c r="K37" s="141"/>
      <c r="L37" s="142"/>
      <c r="M37" s="143" t="str">
        <f>IF(I37 &lt;&gt; "", I37+J37, IF(J37 &lt;&gt; "", I37+J37, ""))</f>
        <v/>
      </c>
      <c r="N37" s="144" t="str">
        <f t="shared" si="2"/>
        <v/>
      </c>
      <c r="O37" s="145" t="str">
        <f t="shared" si="3"/>
        <v/>
      </c>
      <c r="P37" s="161" t="str">
        <f t="shared" si="4"/>
        <v/>
      </c>
      <c r="Q37" s="145" t="str">
        <f t="shared" si="5"/>
        <v/>
      </c>
    </row>
    <row r="38" spans="5:17" x14ac:dyDescent="0.25">
      <c r="E38" s="49"/>
      <c r="F38" t="str">
        <f>IF(G38=1,"Week " &amp;COUNTIF($G$6:$G38,1) + 1,"")</f>
        <v/>
      </c>
      <c r="G38" s="155" t="str">
        <f t="shared" si="0"/>
        <v/>
      </c>
      <c r="H38" s="133"/>
      <c r="I38" s="148"/>
      <c r="J38" s="141"/>
      <c r="K38" s="141"/>
      <c r="L38" s="142"/>
      <c r="M38" s="143" t="str">
        <f>IF(I38 &lt;&gt; "", I38+J38, IF(J38 &lt;&gt; "", I38+J38, ""))</f>
        <v/>
      </c>
      <c r="N38" s="144" t="str">
        <f t="shared" si="2"/>
        <v/>
      </c>
      <c r="O38" s="145" t="str">
        <f t="shared" si="3"/>
        <v/>
      </c>
      <c r="P38" s="161" t="str">
        <f t="shared" si="4"/>
        <v/>
      </c>
      <c r="Q38" s="145" t="str">
        <f t="shared" si="5"/>
        <v/>
      </c>
    </row>
    <row r="39" spans="5:17" x14ac:dyDescent="0.25">
      <c r="E39" s="49"/>
      <c r="G39" s="155"/>
      <c r="H39" s="133"/>
      <c r="I39" s="148"/>
      <c r="J39" s="141"/>
      <c r="K39" s="141"/>
      <c r="L39" s="142"/>
      <c r="M39" s="143"/>
      <c r="N39" s="144" t="str">
        <f t="shared" si="2"/>
        <v/>
      </c>
      <c r="O39" s="145" t="str">
        <f t="shared" si="3"/>
        <v/>
      </c>
      <c r="P39" s="161" t="str">
        <f t="shared" si="4"/>
        <v/>
      </c>
      <c r="Q39" s="145" t="str">
        <f t="shared" si="5"/>
        <v/>
      </c>
    </row>
    <row r="40" spans="5:17" x14ac:dyDescent="0.25">
      <c r="E40" s="49"/>
      <c r="G40" s="155"/>
      <c r="H40" s="133"/>
      <c r="I40" s="148"/>
      <c r="J40" s="141"/>
      <c r="K40" s="141"/>
      <c r="L40" s="142"/>
      <c r="M40" s="143"/>
      <c r="N40" s="144" t="str">
        <f t="shared" si="2"/>
        <v/>
      </c>
      <c r="O40" s="145" t="str">
        <f t="shared" si="3"/>
        <v/>
      </c>
      <c r="P40" s="161" t="str">
        <f t="shared" si="4"/>
        <v/>
      </c>
      <c r="Q40" s="145" t="str">
        <f t="shared" si="5"/>
        <v/>
      </c>
    </row>
    <row r="41" spans="5:17" x14ac:dyDescent="0.25">
      <c r="E41" s="49"/>
      <c r="F41" t="str">
        <f>IF(G41=1,"Week " &amp;COUNTIF($G$6:$G41,1) + 1,"")</f>
        <v/>
      </c>
      <c r="G41" s="155" t="str">
        <f t="shared" si="0"/>
        <v/>
      </c>
      <c r="H41" s="133"/>
      <c r="I41" s="148"/>
      <c r="J41" s="141"/>
      <c r="K41" s="141"/>
      <c r="L41" s="142"/>
      <c r="M41" s="143" t="str">
        <f>IF(I41 &lt;&gt; "", I41+J41, IF(J41 &lt;&gt; "", I41+J41, ""))</f>
        <v/>
      </c>
      <c r="N41" s="144" t="str">
        <f t="shared" si="2"/>
        <v/>
      </c>
      <c r="O41" s="145" t="str">
        <f t="shared" si="3"/>
        <v/>
      </c>
      <c r="P41" s="161" t="str">
        <f t="shared" si="4"/>
        <v/>
      </c>
      <c r="Q41" s="145" t="str">
        <f t="shared" si="5"/>
        <v/>
      </c>
    </row>
    <row r="42" spans="5:17" ht="15.75" thickBot="1" x14ac:dyDescent="0.3">
      <c r="E42" s="49"/>
      <c r="F42" t="str">
        <f>IF(G42=1,"Week " &amp;COUNTIF($G$6:$G42,1) + 1,"")</f>
        <v/>
      </c>
      <c r="G42" s="156" t="str">
        <f t="shared" si="0"/>
        <v/>
      </c>
      <c r="H42" s="134"/>
      <c r="I42" s="149"/>
      <c r="J42" s="150"/>
      <c r="K42" s="150"/>
      <c r="L42" s="151"/>
      <c r="M42" s="152" t="str">
        <f>IF(I42 &lt;&gt; "", I42+J42, IF(J42 &lt;&gt; "", I42+J42, ""))</f>
        <v/>
      </c>
      <c r="N42" s="144" t="str">
        <f t="shared" si="2"/>
        <v/>
      </c>
      <c r="O42" s="145" t="str">
        <f t="shared" si="3"/>
        <v/>
      </c>
      <c r="P42" s="161" t="str">
        <f t="shared" si="4"/>
        <v/>
      </c>
      <c r="Q42" s="145">
        <v>0.81479166666666669</v>
      </c>
    </row>
    <row r="43" spans="5:17" x14ac:dyDescent="0.25">
      <c r="E43" s="49"/>
      <c r="L43" s="130" t="s">
        <v>28</v>
      </c>
      <c r="M43" s="72">
        <f>SUM(M5:M42)</f>
        <v>6.6685069444444434</v>
      </c>
    </row>
    <row r="44" spans="5:17" ht="15.75" thickBot="1" x14ac:dyDescent="0.3">
      <c r="E44" s="49"/>
      <c r="L44" s="71" t="s">
        <v>29</v>
      </c>
      <c r="M44" s="73">
        <f>COUNTIFS(M5:M42,"&gt;0")</f>
        <v>20</v>
      </c>
    </row>
    <row r="45" spans="5:17" x14ac:dyDescent="0.25">
      <c r="K45" s="44"/>
    </row>
    <row r="48" spans="5:17" ht="42" x14ac:dyDescent="0.35">
      <c r="H48" s="136" t="s">
        <v>49</v>
      </c>
      <c r="I48" s="100">
        <f>M44*B168</f>
        <v>6.6666666666666661</v>
      </c>
    </row>
    <row r="50" spans="2:19" ht="15.75" thickBot="1" x14ac:dyDescent="0.3"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</row>
    <row r="51" spans="2:19" ht="45.75" customHeight="1" thickBot="1" x14ac:dyDescent="0.3">
      <c r="B51" s="103"/>
      <c r="C51" s="103"/>
      <c r="D51" s="103"/>
      <c r="E51" s="103"/>
      <c r="F51" s="107"/>
      <c r="G51" s="57" t="s">
        <v>27</v>
      </c>
      <c r="H51" s="55" t="s">
        <v>32</v>
      </c>
      <c r="I51" s="56" t="s">
        <v>31</v>
      </c>
      <c r="J51" s="129" t="s">
        <v>24</v>
      </c>
      <c r="K51" s="57" t="s">
        <v>31</v>
      </c>
      <c r="L51" s="103"/>
      <c r="M51" s="103"/>
      <c r="N51" s="103"/>
      <c r="O51" s="103"/>
    </row>
    <row r="52" spans="2:19" x14ac:dyDescent="0.25">
      <c r="B52" s="103"/>
      <c r="C52" s="103"/>
      <c r="D52" s="103"/>
      <c r="E52" s="103"/>
      <c r="F52" s="107"/>
      <c r="G52" s="61"/>
      <c r="H52" s="58"/>
      <c r="I52" s="59"/>
      <c r="J52" s="60"/>
      <c r="K52" s="61"/>
      <c r="L52" s="103" t="s">
        <v>57</v>
      </c>
      <c r="M52" s="118">
        <v>0.33333333333333331</v>
      </c>
      <c r="N52" s="103"/>
      <c r="O52" s="103"/>
    </row>
    <row r="53" spans="2:19" x14ac:dyDescent="0.25">
      <c r="B53" s="103"/>
      <c r="C53" s="103"/>
      <c r="D53" s="103"/>
      <c r="E53" s="103"/>
      <c r="F53" s="107"/>
      <c r="G53" s="105" t="s">
        <v>26</v>
      </c>
      <c r="H53" s="52">
        <f>M43-H55</f>
        <v>6.3069444444444436</v>
      </c>
      <c r="I53" s="52">
        <f>H53/(M44-1)</f>
        <v>0.33194444444444438</v>
      </c>
      <c r="J53" s="69"/>
      <c r="K53" s="67"/>
      <c r="L53" s="109" t="str">
        <f>"In " &amp; (M44-1) &amp; " Days."</f>
        <v>In 19 Days.</v>
      </c>
      <c r="M53" s="103"/>
      <c r="N53" s="103"/>
      <c r="O53" s="103"/>
    </row>
    <row r="54" spans="2:19" ht="15.75" thickBot="1" x14ac:dyDescent="0.3">
      <c r="B54" s="103"/>
      <c r="C54" s="103"/>
      <c r="D54" s="103"/>
      <c r="E54" s="103"/>
      <c r="F54" s="107"/>
      <c r="G54" s="67"/>
      <c r="H54" s="64"/>
      <c r="I54" s="65"/>
      <c r="J54" s="66"/>
      <c r="K54" s="67"/>
      <c r="L54" s="103"/>
      <c r="M54" s="118">
        <f>M52-P1</f>
        <v>0.33333333333333331</v>
      </c>
      <c r="N54" s="103"/>
      <c r="O54" s="103"/>
    </row>
    <row r="55" spans="2:19" ht="20.25" thickTop="1" thickBot="1" x14ac:dyDescent="0.35">
      <c r="B55" s="104"/>
      <c r="C55" s="104"/>
      <c r="D55" s="104"/>
      <c r="E55" s="104"/>
      <c r="F55" s="108"/>
      <c r="G55" s="106" t="s">
        <v>30</v>
      </c>
      <c r="H55" s="53">
        <f>U67</f>
        <v>0.36156250000000006</v>
      </c>
      <c r="I55" s="70"/>
      <c r="J55" s="54" t="str">
        <f>IF((H55 &lt; M54), (M54-H55), "Go Home...")</f>
        <v>Go Home...</v>
      </c>
      <c r="K55" s="68"/>
      <c r="L55" s="111" t="s">
        <v>25</v>
      </c>
      <c r="M55" s="110" t="str">
        <f ca="1">IF(J55="Go Home...", "Go Home...", (NOW() + J55))</f>
        <v>Go Home...</v>
      </c>
      <c r="N55" s="104"/>
      <c r="O55" s="104"/>
    </row>
    <row r="56" spans="2:19" x14ac:dyDescent="0.25">
      <c r="B56" s="103"/>
      <c r="C56" s="103"/>
      <c r="D56" s="103"/>
      <c r="E56" s="103"/>
      <c r="F56" s="107"/>
      <c r="G56" s="67"/>
      <c r="H56" s="66"/>
      <c r="I56" s="65"/>
      <c r="J56" s="66"/>
      <c r="K56" s="67"/>
      <c r="L56" s="103"/>
      <c r="M56" s="103"/>
      <c r="N56" s="103"/>
      <c r="O56" s="103"/>
    </row>
    <row r="57" spans="2:19" ht="15.75" thickBot="1" x14ac:dyDescent="0.3">
      <c r="B57" s="103"/>
      <c r="C57" s="103"/>
      <c r="D57" s="103"/>
      <c r="E57" s="103"/>
      <c r="F57" s="107"/>
      <c r="G57" s="67" t="s">
        <v>46</v>
      </c>
      <c r="H57" s="52">
        <f>M43</f>
        <v>6.6685069444444434</v>
      </c>
      <c r="I57" s="52">
        <f>M43/M44</f>
        <v>0.33342534722222217</v>
      </c>
      <c r="J57" s="113">
        <f>IF((H57 &lt; B169), (B169-H57), "Go Home...")</f>
        <v>0.99815972222222271</v>
      </c>
      <c r="K57" s="114">
        <f>IF(B167=M44, "Fortnight Friday", J57/(B167-M44))</f>
        <v>0.33271990740740759</v>
      </c>
      <c r="O57" s="103"/>
    </row>
    <row r="58" spans="2:19" ht="18" thickBot="1" x14ac:dyDescent="0.35">
      <c r="B58" s="103"/>
      <c r="C58" s="103"/>
      <c r="D58" s="103"/>
      <c r="E58" s="103"/>
      <c r="F58" s="107"/>
      <c r="G58" s="63"/>
      <c r="H58" s="62"/>
      <c r="I58" s="62"/>
      <c r="J58" s="115" t="str">
        <f>IF((I48-M43)&lt;=0, "Go Home...", I48-M43)</f>
        <v>Go Home...</v>
      </c>
      <c r="K58" s="115"/>
      <c r="L58" s="112" t="s">
        <v>53</v>
      </c>
      <c r="M58" s="110" t="str">
        <f ca="1">IF((I48-M43)&lt;=0, "Go Home...", (NOW() +(I48-M43)))</f>
        <v>Go Home...</v>
      </c>
      <c r="N58" s="103"/>
      <c r="O58" s="103"/>
    </row>
    <row r="59" spans="2:19" x14ac:dyDescent="0.25"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</row>
    <row r="61" spans="2:19" x14ac:dyDescent="0.25">
      <c r="S61" t="s">
        <v>52</v>
      </c>
    </row>
    <row r="62" spans="2:19" x14ac:dyDescent="0.25">
      <c r="R62" s="97" t="str">
        <f>IF(L62="WORK", M62, "")</f>
        <v/>
      </c>
    </row>
    <row r="66" spans="1:25" ht="27" thickBot="1" x14ac:dyDescent="0.45">
      <c r="A66" s="99" t="s">
        <v>45</v>
      </c>
      <c r="B66" s="99" t="s">
        <v>44</v>
      </c>
      <c r="K66" s="99" t="s">
        <v>50</v>
      </c>
      <c r="L66" s="99" t="s">
        <v>51</v>
      </c>
      <c r="T66" s="98" t="s">
        <v>50</v>
      </c>
      <c r="U66" s="99" t="s">
        <v>51</v>
      </c>
      <c r="V66" s="99"/>
      <c r="W66" s="99"/>
      <c r="X66" s="99" t="s">
        <v>44</v>
      </c>
      <c r="Y66" s="99" t="s">
        <v>45</v>
      </c>
    </row>
    <row r="67" spans="1:25" ht="21" x14ac:dyDescent="0.35">
      <c r="A67" s="101">
        <f>SUM(A68:A152)</f>
        <v>0</v>
      </c>
      <c r="B67" s="101">
        <f>SUM(B68:B152)</f>
        <v>0</v>
      </c>
      <c r="C67" s="74" t="s">
        <v>38</v>
      </c>
      <c r="D67" s="75"/>
      <c r="E67" s="75"/>
      <c r="F67" s="75"/>
      <c r="G67" s="75"/>
      <c r="H67" s="75"/>
      <c r="I67" s="75"/>
      <c r="J67" s="76"/>
      <c r="K67" s="94">
        <f>SUM(K68:K139)</f>
        <v>0</v>
      </c>
      <c r="L67" s="101">
        <f>SUM(L68:L152)</f>
        <v>0</v>
      </c>
      <c r="M67" s="74" t="s">
        <v>39</v>
      </c>
      <c r="N67" s="75"/>
      <c r="O67" s="75"/>
      <c r="P67" s="75"/>
      <c r="Q67" s="75"/>
      <c r="R67" s="75"/>
      <c r="S67" s="75"/>
      <c r="T67" s="76"/>
      <c r="U67" s="94">
        <f>SUM(U68:U149)</f>
        <v>0.36156250000000006</v>
      </c>
      <c r="V67" s="102">
        <f>SUM(V68:V152)</f>
        <v>6.5416666666666623E-2</v>
      </c>
      <c r="X67" s="101">
        <f>SUM(X68:X152)</f>
        <v>1.2754629629629699E-2</v>
      </c>
      <c r="Y67" s="101">
        <f>SUM(Y68:Y152)</f>
        <v>0.34880787037037037</v>
      </c>
    </row>
    <row r="68" spans="1:25" x14ac:dyDescent="0.25">
      <c r="C68" s="77"/>
      <c r="D68" s="78"/>
      <c r="E68" s="87"/>
      <c r="F68" s="117"/>
      <c r="G68" s="117"/>
      <c r="H68" s="81"/>
      <c r="I68" s="82"/>
      <c r="J68" s="89">
        <f t="shared" ref="J68:J99" si="6">G68-G67</f>
        <v>0</v>
      </c>
      <c r="K68" s="90" t="str">
        <f t="shared" ref="K68:K99" si="7">IF(OR(I68="WORK", I68="PLAY"),J68, "")</f>
        <v/>
      </c>
      <c r="L68" s="97"/>
      <c r="M68" s="77">
        <v>23623</v>
      </c>
      <c r="N68" s="78">
        <v>45441</v>
      </c>
      <c r="O68" s="95" t="s">
        <v>111</v>
      </c>
      <c r="P68" s="117" t="s">
        <v>112</v>
      </c>
      <c r="Q68" s="117">
        <v>0.43707175925925923</v>
      </c>
      <c r="R68" s="82" t="s">
        <v>114</v>
      </c>
      <c r="S68" s="80"/>
      <c r="T68" s="93"/>
      <c r="U68" s="90" t="str">
        <f t="shared" ref="U68:U149" si="8">IF(OR(S68="WORK", S68="PLAY"), T68, "")</f>
        <v/>
      </c>
      <c r="V68" s="96"/>
      <c r="X68" s="97" t="str">
        <f>IF(S68="PLAY", T68, "")</f>
        <v/>
      </c>
      <c r="Y68" s="97" t="str">
        <f>IF(S68="WORK", T68, "")</f>
        <v/>
      </c>
    </row>
    <row r="69" spans="1:25" ht="14.25" customHeight="1" x14ac:dyDescent="0.25">
      <c r="A69" s="97" t="str">
        <f t="shared" ref="A69:A100" si="9">IF(I69="WORK", J69, "")</f>
        <v/>
      </c>
      <c r="B69" s="97" t="str">
        <f t="shared" ref="B69:B100" si="10">IF(I73="PLAY", J73, "")</f>
        <v/>
      </c>
      <c r="C69" s="77"/>
      <c r="D69" s="78"/>
      <c r="E69" s="80"/>
      <c r="F69" s="117"/>
      <c r="G69" s="117"/>
      <c r="H69" s="81"/>
      <c r="I69" s="88"/>
      <c r="J69" s="89">
        <f t="shared" si="6"/>
        <v>0</v>
      </c>
      <c r="K69" s="90" t="str">
        <f t="shared" si="7"/>
        <v/>
      </c>
      <c r="L69" s="97" t="str">
        <f t="shared" ref="L69:L100" si="11">IF(I69="", IF(H69="","",J69), "")</f>
        <v/>
      </c>
      <c r="M69" s="77">
        <v>23623</v>
      </c>
      <c r="N69" s="78">
        <v>45441</v>
      </c>
      <c r="O69" s="80" t="s">
        <v>111</v>
      </c>
      <c r="P69" s="117" t="s">
        <v>112</v>
      </c>
      <c r="Q69" s="117">
        <v>0.43710648148148151</v>
      </c>
      <c r="R69" s="82" t="s">
        <v>114</v>
      </c>
      <c r="S69" s="80"/>
      <c r="T69" s="89">
        <f t="shared" ref="T69:T150" si="12">Q69-Q68</f>
        <v>3.4722222222283161E-5</v>
      </c>
      <c r="U69" s="90" t="str">
        <f t="shared" si="8"/>
        <v/>
      </c>
      <c r="V69" s="96">
        <f>IF(S69="", IF(R69="","",T69), "")</f>
        <v>3.4722222222283161E-5</v>
      </c>
      <c r="X69" s="97" t="str">
        <f>IF(S69="PLAY", T69, "")</f>
        <v/>
      </c>
      <c r="Y69" s="97" t="str">
        <f>IF(S69="WORK", T69, "")</f>
        <v/>
      </c>
    </row>
    <row r="70" spans="1:25" x14ac:dyDescent="0.25">
      <c r="A70" s="97" t="str">
        <f t="shared" si="9"/>
        <v/>
      </c>
      <c r="B70" s="97" t="str">
        <f t="shared" si="10"/>
        <v/>
      </c>
      <c r="C70" s="77"/>
      <c r="D70" s="78"/>
      <c r="E70" s="80"/>
      <c r="F70" s="117"/>
      <c r="G70" s="117"/>
      <c r="H70" s="81"/>
      <c r="I70" s="82"/>
      <c r="J70" s="89">
        <f t="shared" si="6"/>
        <v>0</v>
      </c>
      <c r="K70" s="90" t="str">
        <f t="shared" si="7"/>
        <v/>
      </c>
      <c r="L70" s="97" t="str">
        <f t="shared" si="11"/>
        <v/>
      </c>
      <c r="M70" s="77">
        <v>23623</v>
      </c>
      <c r="N70" s="78">
        <v>45441</v>
      </c>
      <c r="O70" s="83" t="s">
        <v>113</v>
      </c>
      <c r="P70" s="117" t="s">
        <v>112</v>
      </c>
      <c r="Q70" s="117">
        <v>0.43759259259259259</v>
      </c>
      <c r="R70" s="82" t="s">
        <v>115</v>
      </c>
      <c r="S70" s="80" t="s">
        <v>44</v>
      </c>
      <c r="T70" s="89">
        <f t="shared" si="12"/>
        <v>4.8611111111107608E-4</v>
      </c>
      <c r="U70" s="90">
        <f t="shared" si="8"/>
        <v>4.8611111111107608E-4</v>
      </c>
      <c r="V70" s="96" t="str">
        <f t="shared" ref="V70:V133" si="13">IF(S70="", IF(R70="","",T70), "")</f>
        <v/>
      </c>
      <c r="X70" s="97">
        <f t="shared" ref="X70:X133" si="14">IF(S70="PLAY", T70, "")</f>
        <v>4.8611111111107608E-4</v>
      </c>
      <c r="Y70" s="97" t="str">
        <f t="shared" ref="Y70:Y133" si="15">IF(S70="WORK", T70, "")</f>
        <v/>
      </c>
    </row>
    <row r="71" spans="1:25" x14ac:dyDescent="0.25">
      <c r="A71" s="97" t="str">
        <f t="shared" si="9"/>
        <v/>
      </c>
      <c r="B71" s="97" t="str">
        <f t="shared" si="10"/>
        <v/>
      </c>
      <c r="C71" s="77"/>
      <c r="D71" s="78"/>
      <c r="E71" s="80"/>
      <c r="F71" s="117"/>
      <c r="G71" s="117"/>
      <c r="H71" s="81"/>
      <c r="I71" s="82"/>
      <c r="J71" s="89">
        <f t="shared" si="6"/>
        <v>0</v>
      </c>
      <c r="K71" s="90" t="str">
        <f t="shared" si="7"/>
        <v/>
      </c>
      <c r="L71" s="97" t="str">
        <f t="shared" si="11"/>
        <v/>
      </c>
      <c r="M71" s="77">
        <v>23623</v>
      </c>
      <c r="N71" s="78">
        <v>45441</v>
      </c>
      <c r="O71" s="80" t="s">
        <v>113</v>
      </c>
      <c r="P71" s="117" t="s">
        <v>116</v>
      </c>
      <c r="Q71" s="117">
        <v>0.44487268518518519</v>
      </c>
      <c r="R71" s="82" t="s">
        <v>115</v>
      </c>
      <c r="S71" s="80" t="s">
        <v>45</v>
      </c>
      <c r="T71" s="89">
        <f t="shared" si="12"/>
        <v>7.2800925925926019E-3</v>
      </c>
      <c r="U71" s="90">
        <f t="shared" si="8"/>
        <v>7.2800925925926019E-3</v>
      </c>
      <c r="V71" s="96" t="str">
        <f t="shared" si="13"/>
        <v/>
      </c>
      <c r="X71" s="97" t="str">
        <f t="shared" si="14"/>
        <v/>
      </c>
      <c r="Y71" s="97">
        <f t="shared" si="15"/>
        <v>7.2800925925926019E-3</v>
      </c>
    </row>
    <row r="72" spans="1:25" x14ac:dyDescent="0.25">
      <c r="A72" s="97" t="str">
        <f t="shared" si="9"/>
        <v/>
      </c>
      <c r="B72" s="97" t="str">
        <f t="shared" si="10"/>
        <v/>
      </c>
      <c r="C72" s="77"/>
      <c r="D72" s="78"/>
      <c r="E72" s="80"/>
      <c r="F72" s="117"/>
      <c r="G72" s="117"/>
      <c r="H72" s="81"/>
      <c r="I72" s="82"/>
      <c r="J72" s="89">
        <f t="shared" si="6"/>
        <v>0</v>
      </c>
      <c r="K72" s="90" t="str">
        <f t="shared" si="7"/>
        <v/>
      </c>
      <c r="L72" s="97" t="str">
        <f t="shared" si="11"/>
        <v/>
      </c>
      <c r="M72" s="77">
        <v>23623</v>
      </c>
      <c r="N72" s="78">
        <v>45441</v>
      </c>
      <c r="O72" s="80" t="s">
        <v>119</v>
      </c>
      <c r="P72" s="117" t="s">
        <v>112</v>
      </c>
      <c r="Q72" s="117">
        <v>0.44519675925925922</v>
      </c>
      <c r="R72" s="81" t="s">
        <v>115</v>
      </c>
      <c r="S72" s="80" t="s">
        <v>44</v>
      </c>
      <c r="T72" s="89">
        <f t="shared" si="12"/>
        <v>3.2407407407403221E-4</v>
      </c>
      <c r="U72" s="90">
        <f t="shared" si="8"/>
        <v>3.2407407407403221E-4</v>
      </c>
      <c r="V72" s="96" t="str">
        <f t="shared" si="13"/>
        <v/>
      </c>
      <c r="X72" s="97">
        <f t="shared" si="14"/>
        <v>3.2407407407403221E-4</v>
      </c>
      <c r="Y72" s="97" t="str">
        <f t="shared" si="15"/>
        <v/>
      </c>
    </row>
    <row r="73" spans="1:25" x14ac:dyDescent="0.25">
      <c r="A73" s="97" t="str">
        <f t="shared" si="9"/>
        <v/>
      </c>
      <c r="B73" s="97" t="str">
        <f t="shared" si="10"/>
        <v/>
      </c>
      <c r="C73" s="77"/>
      <c r="D73" s="78"/>
      <c r="E73" s="80"/>
      <c r="F73" s="117"/>
      <c r="G73" s="117"/>
      <c r="H73" s="81"/>
      <c r="I73" s="82"/>
      <c r="J73" s="89">
        <f t="shared" si="6"/>
        <v>0</v>
      </c>
      <c r="K73" s="90" t="str">
        <f t="shared" si="7"/>
        <v/>
      </c>
      <c r="L73" s="97" t="str">
        <f t="shared" si="11"/>
        <v/>
      </c>
      <c r="M73" s="77">
        <v>23623</v>
      </c>
      <c r="N73" s="78">
        <v>45441</v>
      </c>
      <c r="O73" s="80" t="s">
        <v>119</v>
      </c>
      <c r="P73" s="117" t="s">
        <v>116</v>
      </c>
      <c r="Q73" s="117">
        <v>0.45031249999999995</v>
      </c>
      <c r="R73" s="81" t="s">
        <v>115</v>
      </c>
      <c r="S73" s="80" t="s">
        <v>45</v>
      </c>
      <c r="T73" s="89">
        <f t="shared" si="12"/>
        <v>5.1157407407407263E-3</v>
      </c>
      <c r="U73" s="90">
        <f t="shared" si="8"/>
        <v>5.1157407407407263E-3</v>
      </c>
      <c r="V73" s="96" t="str">
        <f t="shared" si="13"/>
        <v/>
      </c>
      <c r="X73" s="97" t="str">
        <f>IF(S73="PLAY", T73, "")</f>
        <v/>
      </c>
      <c r="Y73" s="97">
        <f t="shared" si="15"/>
        <v>5.1157407407407263E-3</v>
      </c>
    </row>
    <row r="74" spans="1:25" x14ac:dyDescent="0.25">
      <c r="A74" s="97" t="str">
        <f t="shared" si="9"/>
        <v/>
      </c>
      <c r="B74" s="97" t="str">
        <f t="shared" si="10"/>
        <v/>
      </c>
      <c r="C74" s="77"/>
      <c r="D74" s="78"/>
      <c r="E74" s="80"/>
      <c r="F74" s="117"/>
      <c r="G74" s="117"/>
      <c r="H74" s="81"/>
      <c r="I74" s="82"/>
      <c r="J74" s="89">
        <f t="shared" si="6"/>
        <v>0</v>
      </c>
      <c r="K74" s="90" t="str">
        <f t="shared" si="7"/>
        <v/>
      </c>
      <c r="L74" s="97" t="str">
        <f t="shared" si="11"/>
        <v/>
      </c>
      <c r="M74" s="77">
        <v>23623</v>
      </c>
      <c r="N74" s="78">
        <v>45441</v>
      </c>
      <c r="O74" s="80" t="s">
        <v>113</v>
      </c>
      <c r="P74" s="117" t="s">
        <v>112</v>
      </c>
      <c r="Q74" s="117">
        <v>0.45064814814814813</v>
      </c>
      <c r="R74" s="81" t="s">
        <v>115</v>
      </c>
      <c r="S74" s="80" t="s">
        <v>44</v>
      </c>
      <c r="T74" s="89">
        <f t="shared" si="12"/>
        <v>3.3564814814818211E-4</v>
      </c>
      <c r="U74" s="90">
        <f t="shared" si="8"/>
        <v>3.3564814814818211E-4</v>
      </c>
      <c r="V74" s="96" t="str">
        <f t="shared" si="13"/>
        <v/>
      </c>
      <c r="X74" s="97">
        <f t="shared" si="14"/>
        <v>3.3564814814818211E-4</v>
      </c>
      <c r="Y74" s="97" t="str">
        <f t="shared" si="15"/>
        <v/>
      </c>
    </row>
    <row r="75" spans="1:25" x14ac:dyDescent="0.25">
      <c r="A75" s="97" t="str">
        <f t="shared" si="9"/>
        <v/>
      </c>
      <c r="B75" s="97" t="str">
        <f t="shared" si="10"/>
        <v/>
      </c>
      <c r="C75" s="77"/>
      <c r="D75" s="78"/>
      <c r="E75" s="80"/>
      <c r="F75" s="117"/>
      <c r="G75" s="117"/>
      <c r="H75" s="81"/>
      <c r="I75" s="82"/>
      <c r="J75" s="89">
        <f t="shared" si="6"/>
        <v>0</v>
      </c>
      <c r="K75" s="90" t="str">
        <f t="shared" si="7"/>
        <v/>
      </c>
      <c r="L75" s="97" t="str">
        <f t="shared" si="11"/>
        <v/>
      </c>
      <c r="M75" s="77">
        <v>23623</v>
      </c>
      <c r="N75" s="78">
        <v>45441</v>
      </c>
      <c r="O75" s="80" t="s">
        <v>117</v>
      </c>
      <c r="P75" s="117" t="s">
        <v>116</v>
      </c>
      <c r="Q75" s="117">
        <v>0.53256944444444443</v>
      </c>
      <c r="R75" s="81" t="s">
        <v>115</v>
      </c>
      <c r="S75" s="80" t="s">
        <v>45</v>
      </c>
      <c r="T75" s="89">
        <f t="shared" si="12"/>
        <v>8.1921296296296298E-2</v>
      </c>
      <c r="U75" s="90">
        <f t="shared" si="8"/>
        <v>8.1921296296296298E-2</v>
      </c>
      <c r="V75" s="96" t="str">
        <f t="shared" si="13"/>
        <v/>
      </c>
      <c r="X75" s="97" t="str">
        <f t="shared" si="14"/>
        <v/>
      </c>
      <c r="Y75" s="97">
        <f t="shared" si="15"/>
        <v>8.1921296296296298E-2</v>
      </c>
    </row>
    <row r="76" spans="1:25" x14ac:dyDescent="0.25">
      <c r="A76" s="97" t="str">
        <f t="shared" si="9"/>
        <v/>
      </c>
      <c r="B76" s="97" t="str">
        <f t="shared" si="10"/>
        <v/>
      </c>
      <c r="C76" s="77"/>
      <c r="D76" s="78"/>
      <c r="E76" s="80"/>
      <c r="F76" s="117"/>
      <c r="G76" s="117"/>
      <c r="H76" s="81"/>
      <c r="I76" s="82"/>
      <c r="J76" s="89">
        <f t="shared" si="6"/>
        <v>0</v>
      </c>
      <c r="K76" s="90" t="str">
        <f t="shared" si="7"/>
        <v/>
      </c>
      <c r="L76" s="97" t="str">
        <f t="shared" si="11"/>
        <v/>
      </c>
      <c r="M76" s="77">
        <v>23623</v>
      </c>
      <c r="N76" s="78">
        <v>45441</v>
      </c>
      <c r="O76" s="80" t="s">
        <v>118</v>
      </c>
      <c r="P76" s="117" t="s">
        <v>116</v>
      </c>
      <c r="Q76" s="117">
        <v>0.53340277777777778</v>
      </c>
      <c r="R76" s="81" t="s">
        <v>114</v>
      </c>
      <c r="S76" s="80" t="s">
        <v>44</v>
      </c>
      <c r="T76" s="89">
        <f t="shared" si="12"/>
        <v>8.3333333333335258E-4</v>
      </c>
      <c r="U76" s="90">
        <f t="shared" si="8"/>
        <v>8.3333333333335258E-4</v>
      </c>
      <c r="V76" s="96" t="str">
        <f t="shared" si="13"/>
        <v/>
      </c>
      <c r="X76" s="97">
        <f t="shared" si="14"/>
        <v>8.3333333333335258E-4</v>
      </c>
      <c r="Y76" s="97" t="str">
        <f t="shared" si="15"/>
        <v/>
      </c>
    </row>
    <row r="77" spans="1:25" x14ac:dyDescent="0.25">
      <c r="A77" s="97" t="str">
        <f t="shared" si="9"/>
        <v/>
      </c>
      <c r="B77" s="97" t="str">
        <f t="shared" si="10"/>
        <v/>
      </c>
      <c r="C77" s="77"/>
      <c r="D77" s="78"/>
      <c r="E77" s="80"/>
      <c r="F77" s="117"/>
      <c r="G77" s="117"/>
      <c r="H77" s="81"/>
      <c r="I77" s="82"/>
      <c r="J77" s="89">
        <f t="shared" si="6"/>
        <v>0</v>
      </c>
      <c r="K77" s="90" t="str">
        <f t="shared" si="7"/>
        <v/>
      </c>
      <c r="L77" s="97" t="str">
        <f t="shared" si="11"/>
        <v/>
      </c>
      <c r="M77" s="77">
        <v>23623</v>
      </c>
      <c r="N77" s="78">
        <v>45441</v>
      </c>
      <c r="O77" s="80" t="s">
        <v>118</v>
      </c>
      <c r="P77" s="117" t="s">
        <v>112</v>
      </c>
      <c r="Q77" s="117">
        <v>0.5704745370370371</v>
      </c>
      <c r="R77" s="81" t="s">
        <v>114</v>
      </c>
      <c r="S77" s="80"/>
      <c r="T77" s="89">
        <f t="shared" si="12"/>
        <v>3.7071759259259318E-2</v>
      </c>
      <c r="U77" s="90" t="str">
        <f t="shared" si="8"/>
        <v/>
      </c>
      <c r="V77" s="96">
        <f t="shared" si="13"/>
        <v>3.7071759259259318E-2</v>
      </c>
      <c r="X77" s="97" t="str">
        <f t="shared" si="14"/>
        <v/>
      </c>
      <c r="Y77" s="97" t="str">
        <f t="shared" si="15"/>
        <v/>
      </c>
    </row>
    <row r="78" spans="1:25" x14ac:dyDescent="0.25">
      <c r="A78" s="97" t="str">
        <f t="shared" si="9"/>
        <v/>
      </c>
      <c r="B78" s="97" t="str">
        <f t="shared" si="10"/>
        <v/>
      </c>
      <c r="C78" s="77"/>
      <c r="D78" s="78"/>
      <c r="E78" s="80"/>
      <c r="F78" s="117"/>
      <c r="G78" s="117"/>
      <c r="H78" s="81"/>
      <c r="I78" s="82"/>
      <c r="J78" s="89">
        <f t="shared" si="6"/>
        <v>0</v>
      </c>
      <c r="K78" s="90" t="str">
        <f t="shared" si="7"/>
        <v/>
      </c>
      <c r="L78" s="97" t="str">
        <f t="shared" si="11"/>
        <v/>
      </c>
      <c r="M78" s="77">
        <v>23623</v>
      </c>
      <c r="N78" s="78">
        <v>45441</v>
      </c>
      <c r="O78" s="80" t="s">
        <v>113</v>
      </c>
      <c r="P78" s="117" t="s">
        <v>112</v>
      </c>
      <c r="Q78" s="117">
        <v>0.57759259259259255</v>
      </c>
      <c r="R78" s="81" t="s">
        <v>115</v>
      </c>
      <c r="S78" s="80" t="s">
        <v>44</v>
      </c>
      <c r="T78" s="89">
        <f t="shared" si="12"/>
        <v>7.118055555555447E-3</v>
      </c>
      <c r="U78" s="90">
        <f t="shared" si="8"/>
        <v>7.118055555555447E-3</v>
      </c>
      <c r="V78" s="96" t="str">
        <f t="shared" si="13"/>
        <v/>
      </c>
      <c r="X78" s="97">
        <f t="shared" si="14"/>
        <v>7.118055555555447E-3</v>
      </c>
      <c r="Y78" s="97" t="str">
        <f t="shared" si="15"/>
        <v/>
      </c>
    </row>
    <row r="79" spans="1:25" x14ac:dyDescent="0.25">
      <c r="A79" s="97" t="str">
        <f t="shared" si="9"/>
        <v/>
      </c>
      <c r="B79" s="97" t="str">
        <f t="shared" si="10"/>
        <v/>
      </c>
      <c r="C79" s="77"/>
      <c r="D79" s="78"/>
      <c r="E79" s="80"/>
      <c r="F79" s="117"/>
      <c r="G79" s="117"/>
      <c r="H79" s="81"/>
      <c r="I79" s="82"/>
      <c r="J79" s="89">
        <f t="shared" si="6"/>
        <v>0</v>
      </c>
      <c r="K79" s="90" t="str">
        <f t="shared" si="7"/>
        <v/>
      </c>
      <c r="L79" s="97" t="str">
        <f t="shared" si="11"/>
        <v/>
      </c>
      <c r="M79" s="77">
        <v>23623</v>
      </c>
      <c r="N79" s="78">
        <v>45441</v>
      </c>
      <c r="O79" s="80" t="s">
        <v>117</v>
      </c>
      <c r="P79" s="117" t="s">
        <v>116</v>
      </c>
      <c r="Q79" s="117">
        <v>0.71502314814814805</v>
      </c>
      <c r="R79" s="81" t="s">
        <v>115</v>
      </c>
      <c r="S79" s="80" t="s">
        <v>45</v>
      </c>
      <c r="T79" s="89">
        <f t="shared" si="12"/>
        <v>0.1374305555555555</v>
      </c>
      <c r="U79" s="90">
        <f t="shared" si="8"/>
        <v>0.1374305555555555</v>
      </c>
      <c r="V79" s="96" t="str">
        <f t="shared" si="13"/>
        <v/>
      </c>
      <c r="X79" s="97" t="str">
        <f t="shared" si="14"/>
        <v/>
      </c>
      <c r="Y79" s="97">
        <f t="shared" si="15"/>
        <v>0.1374305555555555</v>
      </c>
    </row>
    <row r="80" spans="1:25" x14ac:dyDescent="0.25">
      <c r="A80" s="97" t="str">
        <f t="shared" si="9"/>
        <v/>
      </c>
      <c r="B80" s="97" t="str">
        <f t="shared" si="10"/>
        <v/>
      </c>
      <c r="C80" s="77"/>
      <c r="D80" s="78"/>
      <c r="E80" s="80"/>
      <c r="F80" s="117"/>
      <c r="G80" s="117"/>
      <c r="H80" s="81"/>
      <c r="I80" s="82"/>
      <c r="J80" s="89">
        <f t="shared" si="6"/>
        <v>0</v>
      </c>
      <c r="K80" s="90" t="str">
        <f t="shared" si="7"/>
        <v/>
      </c>
      <c r="L80" s="97" t="str">
        <f t="shared" si="11"/>
        <v/>
      </c>
      <c r="M80" s="77">
        <v>23623</v>
      </c>
      <c r="N80" s="78">
        <v>45441</v>
      </c>
      <c r="O80" s="80" t="s">
        <v>118</v>
      </c>
      <c r="P80" s="117" t="s">
        <v>116</v>
      </c>
      <c r="Q80" s="117">
        <v>0.71584490740740747</v>
      </c>
      <c r="R80" s="81" t="s">
        <v>114</v>
      </c>
      <c r="S80" s="80" t="s">
        <v>44</v>
      </c>
      <c r="T80" s="89">
        <f t="shared" si="12"/>
        <v>8.2175925925942472E-4</v>
      </c>
      <c r="U80" s="90">
        <f t="shared" si="8"/>
        <v>8.2175925925942472E-4</v>
      </c>
      <c r="V80" s="96" t="str">
        <f t="shared" si="13"/>
        <v/>
      </c>
      <c r="X80" s="97">
        <f t="shared" si="14"/>
        <v>8.2175925925942472E-4</v>
      </c>
      <c r="Y80" s="97" t="str">
        <f t="shared" si="15"/>
        <v/>
      </c>
    </row>
    <row r="81" spans="1:25" x14ac:dyDescent="0.25">
      <c r="A81" s="97" t="str">
        <f t="shared" si="9"/>
        <v/>
      </c>
      <c r="B81" s="97" t="str">
        <f t="shared" si="10"/>
        <v/>
      </c>
      <c r="C81" s="77"/>
      <c r="D81" s="78"/>
      <c r="E81" s="80"/>
      <c r="F81" s="117"/>
      <c r="G81" s="117"/>
      <c r="H81" s="81"/>
      <c r="I81" s="82"/>
      <c r="J81" s="89">
        <f t="shared" si="6"/>
        <v>0</v>
      </c>
      <c r="K81" s="90" t="str">
        <f t="shared" si="7"/>
        <v/>
      </c>
      <c r="L81" s="97" t="str">
        <f t="shared" si="11"/>
        <v/>
      </c>
      <c r="M81" s="77">
        <v>23623</v>
      </c>
      <c r="N81" s="78">
        <v>45441</v>
      </c>
      <c r="O81" s="80" t="s">
        <v>118</v>
      </c>
      <c r="P81" s="117" t="s">
        <v>112</v>
      </c>
      <c r="Q81" s="117">
        <v>0.7289930555555556</v>
      </c>
      <c r="R81" s="81" t="s">
        <v>114</v>
      </c>
      <c r="S81" s="80"/>
      <c r="T81" s="89">
        <f t="shared" si="12"/>
        <v>1.3148148148148131E-2</v>
      </c>
      <c r="U81" s="90" t="str">
        <f t="shared" si="8"/>
        <v/>
      </c>
      <c r="V81" s="96">
        <f t="shared" si="13"/>
        <v>1.3148148148148131E-2</v>
      </c>
      <c r="X81" s="97" t="str">
        <f t="shared" si="14"/>
        <v/>
      </c>
      <c r="Y81" s="97" t="str">
        <f t="shared" si="15"/>
        <v/>
      </c>
    </row>
    <row r="82" spans="1:25" x14ac:dyDescent="0.25">
      <c r="A82" s="97" t="str">
        <f t="shared" si="9"/>
        <v/>
      </c>
      <c r="B82" s="97" t="str">
        <f t="shared" si="10"/>
        <v/>
      </c>
      <c r="C82" s="77"/>
      <c r="D82" s="78"/>
      <c r="E82" s="80"/>
      <c r="F82" s="117"/>
      <c r="G82" s="117"/>
      <c r="H82" s="81"/>
      <c r="I82" s="82"/>
      <c r="J82" s="89">
        <f t="shared" si="6"/>
        <v>0</v>
      </c>
      <c r="K82" s="90" t="str">
        <f t="shared" si="7"/>
        <v/>
      </c>
      <c r="L82" s="97" t="str">
        <f t="shared" si="11"/>
        <v/>
      </c>
      <c r="M82" s="77">
        <v>23623</v>
      </c>
      <c r="N82" s="78">
        <v>45441</v>
      </c>
      <c r="O82" s="80" t="s">
        <v>117</v>
      </c>
      <c r="P82" s="117" t="s">
        <v>112</v>
      </c>
      <c r="Q82" s="117">
        <v>0.72987268518518522</v>
      </c>
      <c r="R82" s="81" t="s">
        <v>115</v>
      </c>
      <c r="S82" s="80" t="s">
        <v>44</v>
      </c>
      <c r="T82" s="89">
        <f t="shared" si="12"/>
        <v>8.796296296296191E-4</v>
      </c>
      <c r="U82" s="90">
        <f t="shared" si="8"/>
        <v>8.796296296296191E-4</v>
      </c>
      <c r="V82" s="96" t="str">
        <f t="shared" si="13"/>
        <v/>
      </c>
      <c r="X82" s="97">
        <f t="shared" si="14"/>
        <v>8.796296296296191E-4</v>
      </c>
      <c r="Y82" s="97" t="str">
        <f t="shared" si="15"/>
        <v/>
      </c>
    </row>
    <row r="83" spans="1:25" x14ac:dyDescent="0.25">
      <c r="A83" s="97" t="str">
        <f t="shared" si="9"/>
        <v/>
      </c>
      <c r="B83" s="97" t="str">
        <f t="shared" si="10"/>
        <v/>
      </c>
      <c r="C83" s="77"/>
      <c r="D83" s="78"/>
      <c r="E83" s="80"/>
      <c r="F83" s="117"/>
      <c r="G83" s="117"/>
      <c r="H83" s="81"/>
      <c r="I83" s="82"/>
      <c r="J83" s="89">
        <f t="shared" si="6"/>
        <v>0</v>
      </c>
      <c r="K83" s="90" t="str">
        <f t="shared" si="7"/>
        <v/>
      </c>
      <c r="L83" s="97" t="str">
        <f t="shared" si="11"/>
        <v/>
      </c>
      <c r="M83" s="77">
        <v>23623</v>
      </c>
      <c r="N83" s="78">
        <v>45441</v>
      </c>
      <c r="O83" s="80" t="s">
        <v>113</v>
      </c>
      <c r="P83" s="117" t="s">
        <v>116</v>
      </c>
      <c r="Q83" s="117">
        <v>0.78563657407407417</v>
      </c>
      <c r="R83" s="82" t="s">
        <v>115</v>
      </c>
      <c r="S83" s="80" t="s">
        <v>45</v>
      </c>
      <c r="T83" s="89">
        <f t="shared" si="12"/>
        <v>5.5763888888888946E-2</v>
      </c>
      <c r="U83" s="90">
        <f t="shared" si="8"/>
        <v>5.5763888888888946E-2</v>
      </c>
      <c r="V83" s="96" t="str">
        <f t="shared" si="13"/>
        <v/>
      </c>
      <c r="X83" s="97" t="str">
        <f t="shared" si="14"/>
        <v/>
      </c>
      <c r="Y83" s="97">
        <f t="shared" si="15"/>
        <v>5.5763888888888946E-2</v>
      </c>
    </row>
    <row r="84" spans="1:25" x14ac:dyDescent="0.25">
      <c r="A84" s="97" t="str">
        <f t="shared" si="9"/>
        <v/>
      </c>
      <c r="B84" s="97" t="str">
        <f t="shared" si="10"/>
        <v/>
      </c>
      <c r="C84" s="77"/>
      <c r="D84" s="78"/>
      <c r="E84" s="80"/>
      <c r="F84" s="117"/>
      <c r="G84" s="117"/>
      <c r="H84" s="81"/>
      <c r="I84" s="82"/>
      <c r="J84" s="89">
        <f t="shared" si="6"/>
        <v>0</v>
      </c>
      <c r="K84" s="90" t="str">
        <f t="shared" si="7"/>
        <v/>
      </c>
      <c r="L84" s="97" t="str">
        <f t="shared" si="11"/>
        <v/>
      </c>
      <c r="M84" s="77">
        <v>23623</v>
      </c>
      <c r="N84" s="78">
        <v>45441</v>
      </c>
      <c r="O84" s="80" t="s">
        <v>118</v>
      </c>
      <c r="P84" s="117" t="s">
        <v>116</v>
      </c>
      <c r="Q84" s="117">
        <v>0.78709490740740751</v>
      </c>
      <c r="R84" s="81" t="s">
        <v>114</v>
      </c>
      <c r="S84" s="80" t="s">
        <v>44</v>
      </c>
      <c r="T84" s="89">
        <f t="shared" si="12"/>
        <v>1.4583333333333393E-3</v>
      </c>
      <c r="U84" s="90">
        <f t="shared" si="8"/>
        <v>1.4583333333333393E-3</v>
      </c>
      <c r="V84" s="96" t="str">
        <f t="shared" si="13"/>
        <v/>
      </c>
      <c r="X84" s="97">
        <f t="shared" si="14"/>
        <v>1.4583333333333393E-3</v>
      </c>
      <c r="Y84" s="97" t="str">
        <f t="shared" si="15"/>
        <v/>
      </c>
    </row>
    <row r="85" spans="1:25" x14ac:dyDescent="0.25">
      <c r="A85" s="97" t="str">
        <f t="shared" si="9"/>
        <v/>
      </c>
      <c r="B85" s="97" t="str">
        <f t="shared" si="10"/>
        <v/>
      </c>
      <c r="C85" s="77"/>
      <c r="D85" s="78"/>
      <c r="E85" s="80"/>
      <c r="F85" s="117"/>
      <c r="G85" s="117"/>
      <c r="H85" s="81"/>
      <c r="I85" s="82"/>
      <c r="J85" s="89">
        <f t="shared" si="6"/>
        <v>0</v>
      </c>
      <c r="K85" s="90" t="str">
        <f t="shared" si="7"/>
        <v/>
      </c>
      <c r="L85" s="97" t="str">
        <f t="shared" si="11"/>
        <v/>
      </c>
      <c r="M85" s="77">
        <v>23623</v>
      </c>
      <c r="N85" s="78">
        <v>45441</v>
      </c>
      <c r="O85" s="80" t="s">
        <v>111</v>
      </c>
      <c r="P85" s="117" t="s">
        <v>112</v>
      </c>
      <c r="Q85" s="117">
        <v>0.8022569444444444</v>
      </c>
      <c r="R85" s="82" t="s">
        <v>114</v>
      </c>
      <c r="S85" s="80"/>
      <c r="T85" s="89">
        <f t="shared" si="12"/>
        <v>1.5162037037036891E-2</v>
      </c>
      <c r="U85" s="90" t="str">
        <f t="shared" si="8"/>
        <v/>
      </c>
      <c r="V85" s="96">
        <f t="shared" si="13"/>
        <v>1.5162037037036891E-2</v>
      </c>
      <c r="X85" s="97" t="str">
        <f t="shared" si="14"/>
        <v/>
      </c>
      <c r="Y85" s="97" t="str">
        <f t="shared" si="15"/>
        <v/>
      </c>
    </row>
    <row r="86" spans="1:25" x14ac:dyDescent="0.25">
      <c r="A86" s="97" t="str">
        <f t="shared" si="9"/>
        <v/>
      </c>
      <c r="B86" s="97" t="str">
        <f t="shared" si="10"/>
        <v/>
      </c>
      <c r="C86" s="77"/>
      <c r="D86" s="78"/>
      <c r="E86" s="80"/>
      <c r="F86" s="117"/>
      <c r="G86" s="117"/>
      <c r="H86" s="81"/>
      <c r="I86" s="82"/>
      <c r="J86" s="89">
        <f t="shared" si="6"/>
        <v>0</v>
      </c>
      <c r="K86" s="90" t="str">
        <f t="shared" si="7"/>
        <v/>
      </c>
      <c r="L86" s="97" t="str">
        <f t="shared" si="11"/>
        <v/>
      </c>
      <c r="M86" s="77">
        <v>23623</v>
      </c>
      <c r="N86" s="78">
        <v>45441</v>
      </c>
      <c r="O86" s="80" t="s">
        <v>117</v>
      </c>
      <c r="P86" s="117" t="s">
        <v>112</v>
      </c>
      <c r="Q86" s="117">
        <v>0.80275462962962962</v>
      </c>
      <c r="R86" s="82" t="s">
        <v>115</v>
      </c>
      <c r="S86" s="80" t="s">
        <v>44</v>
      </c>
      <c r="T86" s="89">
        <f t="shared" si="12"/>
        <v>4.9768518518522598E-4</v>
      </c>
      <c r="U86" s="90">
        <f t="shared" si="8"/>
        <v>4.9768518518522598E-4</v>
      </c>
      <c r="V86" s="96" t="str">
        <f t="shared" si="13"/>
        <v/>
      </c>
      <c r="X86" s="97">
        <f t="shared" si="14"/>
        <v>4.9768518518522598E-4</v>
      </c>
      <c r="Y86" s="97" t="str">
        <f t="shared" si="15"/>
        <v/>
      </c>
    </row>
    <row r="87" spans="1:25" x14ac:dyDescent="0.25">
      <c r="A87" s="97" t="str">
        <f t="shared" si="9"/>
        <v/>
      </c>
      <c r="B87" s="97" t="str">
        <f t="shared" si="10"/>
        <v/>
      </c>
      <c r="C87" s="77"/>
      <c r="D87" s="78"/>
      <c r="E87" s="80"/>
      <c r="F87" s="117"/>
      <c r="G87" s="117"/>
      <c r="H87" s="81"/>
      <c r="I87" s="82"/>
      <c r="J87" s="89">
        <f t="shared" si="6"/>
        <v>0</v>
      </c>
      <c r="K87" s="90" t="str">
        <f t="shared" si="7"/>
        <v/>
      </c>
      <c r="L87" s="97" t="str">
        <f t="shared" si="11"/>
        <v/>
      </c>
      <c r="M87" s="77"/>
      <c r="N87" s="78"/>
      <c r="O87" s="80"/>
      <c r="P87" s="117" t="s">
        <v>116</v>
      </c>
      <c r="Q87" s="117">
        <v>0.86405092592592592</v>
      </c>
      <c r="R87" s="82" t="s">
        <v>115</v>
      </c>
      <c r="S87" s="80" t="s">
        <v>45</v>
      </c>
      <c r="T87" s="89">
        <f t="shared" si="12"/>
        <v>6.1296296296296293E-2</v>
      </c>
      <c r="U87" s="90">
        <f t="shared" si="8"/>
        <v>6.1296296296296293E-2</v>
      </c>
      <c r="V87" s="96" t="str">
        <f t="shared" si="13"/>
        <v/>
      </c>
      <c r="X87" s="97" t="str">
        <f t="shared" si="14"/>
        <v/>
      </c>
      <c r="Y87" s="97">
        <f t="shared" si="15"/>
        <v>6.1296296296296293E-2</v>
      </c>
    </row>
    <row r="88" spans="1:25" x14ac:dyDescent="0.25">
      <c r="A88" s="97" t="str">
        <f t="shared" si="9"/>
        <v/>
      </c>
      <c r="B88" s="97" t="str">
        <f t="shared" si="10"/>
        <v/>
      </c>
      <c r="C88" s="77"/>
      <c r="D88" s="78"/>
      <c r="E88" s="80"/>
      <c r="F88" s="117"/>
      <c r="G88" s="117"/>
      <c r="H88" s="81"/>
      <c r="I88" s="82"/>
      <c r="J88" s="89">
        <f t="shared" si="6"/>
        <v>0</v>
      </c>
      <c r="K88" s="90" t="str">
        <f t="shared" si="7"/>
        <v/>
      </c>
      <c r="L88" s="97" t="str">
        <f t="shared" si="11"/>
        <v/>
      </c>
      <c r="M88" s="77"/>
      <c r="N88" s="78"/>
      <c r="O88" s="80"/>
      <c r="P88" s="117"/>
      <c r="Q88" s="117"/>
      <c r="R88" s="82"/>
      <c r="S88" s="80"/>
      <c r="T88" s="89">
        <f t="shared" si="12"/>
        <v>-0.86405092592592592</v>
      </c>
      <c r="U88" s="90" t="str">
        <f t="shared" si="8"/>
        <v/>
      </c>
      <c r="V88" s="96" t="str">
        <f t="shared" si="13"/>
        <v/>
      </c>
      <c r="X88" s="97" t="str">
        <f t="shared" si="14"/>
        <v/>
      </c>
      <c r="Y88" s="97" t="str">
        <f t="shared" si="15"/>
        <v/>
      </c>
    </row>
    <row r="89" spans="1:25" x14ac:dyDescent="0.25">
      <c r="A89" s="97" t="str">
        <f t="shared" si="9"/>
        <v/>
      </c>
      <c r="B89" s="97" t="str">
        <f t="shared" si="10"/>
        <v/>
      </c>
      <c r="C89" s="77"/>
      <c r="D89" s="78"/>
      <c r="E89" s="80"/>
      <c r="F89" s="117"/>
      <c r="G89" s="117"/>
      <c r="H89" s="81"/>
      <c r="I89" s="82"/>
      <c r="J89" s="89">
        <f t="shared" si="6"/>
        <v>0</v>
      </c>
      <c r="K89" s="90" t="str">
        <f t="shared" si="7"/>
        <v/>
      </c>
      <c r="L89" s="97" t="str">
        <f t="shared" si="11"/>
        <v/>
      </c>
      <c r="M89" s="77"/>
      <c r="N89" s="78"/>
      <c r="O89" s="80"/>
      <c r="P89" s="117"/>
      <c r="Q89" s="117"/>
      <c r="R89" s="82"/>
      <c r="S89" s="80"/>
      <c r="T89" s="89">
        <f t="shared" si="12"/>
        <v>0</v>
      </c>
      <c r="U89" s="90" t="str">
        <f t="shared" si="8"/>
        <v/>
      </c>
      <c r="V89" s="96" t="str">
        <f t="shared" si="13"/>
        <v/>
      </c>
      <c r="X89" s="97" t="str">
        <f t="shared" si="14"/>
        <v/>
      </c>
      <c r="Y89" s="97" t="str">
        <f t="shared" si="15"/>
        <v/>
      </c>
    </row>
    <row r="90" spans="1:25" x14ac:dyDescent="0.25">
      <c r="A90" s="97" t="str">
        <f t="shared" si="9"/>
        <v/>
      </c>
      <c r="B90" s="97" t="str">
        <f t="shared" si="10"/>
        <v/>
      </c>
      <c r="C90" s="77"/>
      <c r="D90" s="78"/>
      <c r="E90" s="80"/>
      <c r="F90" s="117"/>
      <c r="G90" s="117"/>
      <c r="H90" s="81"/>
      <c r="I90" s="82"/>
      <c r="J90" s="89">
        <f t="shared" si="6"/>
        <v>0</v>
      </c>
      <c r="K90" s="90" t="str">
        <f t="shared" si="7"/>
        <v/>
      </c>
      <c r="L90" s="97" t="str">
        <f t="shared" si="11"/>
        <v/>
      </c>
      <c r="M90" s="77"/>
      <c r="N90" s="78"/>
      <c r="O90" s="80"/>
      <c r="P90" s="117"/>
      <c r="Q90" s="117"/>
      <c r="R90" s="82"/>
      <c r="S90" s="79"/>
      <c r="T90" s="89">
        <f t="shared" si="12"/>
        <v>0</v>
      </c>
      <c r="U90" s="90" t="str">
        <f t="shared" si="8"/>
        <v/>
      </c>
      <c r="V90" s="96" t="str">
        <f t="shared" si="13"/>
        <v/>
      </c>
      <c r="X90" s="97" t="str">
        <f t="shared" si="14"/>
        <v/>
      </c>
      <c r="Y90" s="97" t="str">
        <f t="shared" si="15"/>
        <v/>
      </c>
    </row>
    <row r="91" spans="1:25" x14ac:dyDescent="0.25">
      <c r="A91" s="97" t="str">
        <f t="shared" si="9"/>
        <v/>
      </c>
      <c r="B91" s="97" t="str">
        <f t="shared" si="10"/>
        <v/>
      </c>
      <c r="C91" s="77"/>
      <c r="D91" s="78"/>
      <c r="E91" s="80"/>
      <c r="F91" s="117"/>
      <c r="G91" s="117"/>
      <c r="H91" s="81"/>
      <c r="I91" s="82"/>
      <c r="J91" s="89">
        <f t="shared" si="6"/>
        <v>0</v>
      </c>
      <c r="K91" s="90" t="str">
        <f t="shared" si="7"/>
        <v/>
      </c>
      <c r="L91" s="97" t="str">
        <f t="shared" si="11"/>
        <v/>
      </c>
      <c r="M91" s="77"/>
      <c r="N91" s="78"/>
      <c r="O91" s="80"/>
      <c r="P91" s="117"/>
      <c r="Q91" s="117"/>
      <c r="R91" s="81"/>
      <c r="S91" s="80"/>
      <c r="T91" s="89">
        <f t="shared" si="12"/>
        <v>0</v>
      </c>
      <c r="U91" s="90" t="str">
        <f t="shared" si="8"/>
        <v/>
      </c>
      <c r="V91" s="96" t="str">
        <f t="shared" si="13"/>
        <v/>
      </c>
      <c r="X91" s="97" t="str">
        <f t="shared" si="14"/>
        <v/>
      </c>
      <c r="Y91" s="97" t="str">
        <f t="shared" si="15"/>
        <v/>
      </c>
    </row>
    <row r="92" spans="1:25" x14ac:dyDescent="0.25">
      <c r="A92" s="97" t="str">
        <f t="shared" si="9"/>
        <v/>
      </c>
      <c r="B92" s="97" t="str">
        <f t="shared" si="10"/>
        <v/>
      </c>
      <c r="C92" s="77"/>
      <c r="D92" s="78"/>
      <c r="E92" s="80"/>
      <c r="F92" s="117"/>
      <c r="G92" s="117"/>
      <c r="H92" s="81"/>
      <c r="I92" s="82"/>
      <c r="J92" s="89">
        <f t="shared" si="6"/>
        <v>0</v>
      </c>
      <c r="K92" s="90" t="str">
        <f t="shared" si="7"/>
        <v/>
      </c>
      <c r="L92" s="97" t="str">
        <f t="shared" si="11"/>
        <v/>
      </c>
      <c r="M92" s="77"/>
      <c r="N92" s="78"/>
      <c r="O92" s="80"/>
      <c r="P92" s="117"/>
      <c r="Q92" s="117"/>
      <c r="R92" s="82"/>
      <c r="S92" s="80"/>
      <c r="T92" s="89">
        <f t="shared" si="12"/>
        <v>0</v>
      </c>
      <c r="U92" s="90" t="str">
        <f t="shared" si="8"/>
        <v/>
      </c>
      <c r="V92" s="96" t="str">
        <f t="shared" si="13"/>
        <v/>
      </c>
      <c r="X92" s="97" t="str">
        <f t="shared" si="14"/>
        <v/>
      </c>
      <c r="Y92" s="97" t="str">
        <f t="shared" si="15"/>
        <v/>
      </c>
    </row>
    <row r="93" spans="1:25" x14ac:dyDescent="0.25">
      <c r="A93" s="97" t="str">
        <f t="shared" si="9"/>
        <v/>
      </c>
      <c r="B93" s="97" t="str">
        <f t="shared" si="10"/>
        <v/>
      </c>
      <c r="C93" s="77"/>
      <c r="D93" s="78"/>
      <c r="E93" s="80"/>
      <c r="F93" s="117"/>
      <c r="G93" s="117"/>
      <c r="H93" s="81"/>
      <c r="I93" s="82"/>
      <c r="J93" s="89">
        <f t="shared" si="6"/>
        <v>0</v>
      </c>
      <c r="K93" s="90" t="str">
        <f t="shared" si="7"/>
        <v/>
      </c>
      <c r="L93" s="97" t="str">
        <f t="shared" si="11"/>
        <v/>
      </c>
      <c r="M93" s="77"/>
      <c r="N93" s="78"/>
      <c r="O93" s="80"/>
      <c r="P93" s="117"/>
      <c r="Q93" s="117"/>
      <c r="R93" s="82"/>
      <c r="S93" s="80"/>
      <c r="T93" s="89">
        <f t="shared" si="12"/>
        <v>0</v>
      </c>
      <c r="U93" s="90" t="str">
        <f t="shared" si="8"/>
        <v/>
      </c>
      <c r="V93" s="96" t="str">
        <f t="shared" si="13"/>
        <v/>
      </c>
      <c r="X93" s="97" t="str">
        <f t="shared" si="14"/>
        <v/>
      </c>
      <c r="Y93" s="97" t="str">
        <f t="shared" si="15"/>
        <v/>
      </c>
    </row>
    <row r="94" spans="1:25" x14ac:dyDescent="0.25">
      <c r="A94" s="97" t="str">
        <f t="shared" si="9"/>
        <v/>
      </c>
      <c r="B94" s="97" t="str">
        <f t="shared" si="10"/>
        <v/>
      </c>
      <c r="C94" s="77"/>
      <c r="D94" s="78"/>
      <c r="E94" s="80"/>
      <c r="F94" s="117"/>
      <c r="G94" s="117"/>
      <c r="H94" s="81"/>
      <c r="I94" s="82"/>
      <c r="J94" s="89">
        <f t="shared" si="6"/>
        <v>0</v>
      </c>
      <c r="K94" s="90" t="str">
        <f t="shared" si="7"/>
        <v/>
      </c>
      <c r="L94" s="97" t="str">
        <f t="shared" si="11"/>
        <v/>
      </c>
      <c r="M94" s="77"/>
      <c r="N94" s="78"/>
      <c r="O94" s="80"/>
      <c r="P94" s="117"/>
      <c r="Q94" s="117"/>
      <c r="R94" s="82"/>
      <c r="S94" s="80"/>
      <c r="T94" s="89">
        <f t="shared" si="12"/>
        <v>0</v>
      </c>
      <c r="U94" s="90" t="str">
        <f t="shared" si="8"/>
        <v/>
      </c>
      <c r="V94" s="96" t="str">
        <f t="shared" si="13"/>
        <v/>
      </c>
      <c r="X94" s="97" t="str">
        <f t="shared" si="14"/>
        <v/>
      </c>
      <c r="Y94" s="97" t="str">
        <f t="shared" si="15"/>
        <v/>
      </c>
    </row>
    <row r="95" spans="1:25" x14ac:dyDescent="0.25">
      <c r="A95" s="97" t="str">
        <f t="shared" si="9"/>
        <v/>
      </c>
      <c r="B95" s="97" t="str">
        <f t="shared" si="10"/>
        <v/>
      </c>
      <c r="C95" s="77"/>
      <c r="D95" s="78"/>
      <c r="E95" s="80"/>
      <c r="F95" s="117"/>
      <c r="G95" s="117"/>
      <c r="H95" s="81"/>
      <c r="I95" s="82"/>
      <c r="J95" s="89">
        <f t="shared" si="6"/>
        <v>0</v>
      </c>
      <c r="K95" s="90" t="str">
        <f t="shared" si="7"/>
        <v/>
      </c>
      <c r="L95" s="97" t="str">
        <f t="shared" si="11"/>
        <v/>
      </c>
      <c r="M95" s="77"/>
      <c r="N95" s="78"/>
      <c r="O95" s="80"/>
      <c r="P95" s="117"/>
      <c r="Q95" s="117"/>
      <c r="R95" s="82"/>
      <c r="S95" s="80"/>
      <c r="T95" s="89">
        <f t="shared" si="12"/>
        <v>0</v>
      </c>
      <c r="U95" s="90" t="str">
        <f t="shared" si="8"/>
        <v/>
      </c>
      <c r="V95" s="96" t="str">
        <f t="shared" si="13"/>
        <v/>
      </c>
      <c r="X95" s="97" t="str">
        <f t="shared" si="14"/>
        <v/>
      </c>
      <c r="Y95" s="97" t="str">
        <f t="shared" si="15"/>
        <v/>
      </c>
    </row>
    <row r="96" spans="1:25" x14ac:dyDescent="0.25">
      <c r="A96" s="97" t="str">
        <f t="shared" si="9"/>
        <v/>
      </c>
      <c r="B96" s="97" t="str">
        <f t="shared" si="10"/>
        <v/>
      </c>
      <c r="C96" s="77"/>
      <c r="D96" s="78"/>
      <c r="E96" s="80"/>
      <c r="F96" s="117"/>
      <c r="G96" s="117"/>
      <c r="H96" s="81"/>
      <c r="I96" s="82"/>
      <c r="J96" s="89">
        <f t="shared" si="6"/>
        <v>0</v>
      </c>
      <c r="K96" s="90" t="str">
        <f t="shared" si="7"/>
        <v/>
      </c>
      <c r="L96" s="97" t="str">
        <f t="shared" si="11"/>
        <v/>
      </c>
      <c r="M96" s="77"/>
      <c r="N96" s="78"/>
      <c r="O96" s="80"/>
      <c r="P96" s="117"/>
      <c r="Q96" s="117"/>
      <c r="R96" s="82"/>
      <c r="S96" s="80"/>
      <c r="T96" s="89">
        <f t="shared" si="12"/>
        <v>0</v>
      </c>
      <c r="U96" s="90" t="str">
        <f t="shared" si="8"/>
        <v/>
      </c>
      <c r="V96" s="96" t="str">
        <f t="shared" si="13"/>
        <v/>
      </c>
      <c r="X96" s="97" t="str">
        <f t="shared" si="14"/>
        <v/>
      </c>
      <c r="Y96" s="97" t="str">
        <f t="shared" si="15"/>
        <v/>
      </c>
    </row>
    <row r="97" spans="1:25" x14ac:dyDescent="0.25">
      <c r="A97" s="97" t="str">
        <f t="shared" si="9"/>
        <v/>
      </c>
      <c r="B97" s="97" t="str">
        <f t="shared" si="10"/>
        <v/>
      </c>
      <c r="C97" s="77"/>
      <c r="D97" s="78"/>
      <c r="E97" s="80"/>
      <c r="F97" s="117"/>
      <c r="G97" s="117"/>
      <c r="H97" s="81"/>
      <c r="I97" s="82"/>
      <c r="J97" s="89">
        <f t="shared" si="6"/>
        <v>0</v>
      </c>
      <c r="K97" s="90" t="str">
        <f t="shared" si="7"/>
        <v/>
      </c>
      <c r="L97" s="97" t="str">
        <f t="shared" si="11"/>
        <v/>
      </c>
      <c r="M97" s="77"/>
      <c r="N97" s="78"/>
      <c r="O97" s="80"/>
      <c r="P97" s="117"/>
      <c r="Q97" s="117"/>
      <c r="R97" s="82"/>
      <c r="S97" s="80"/>
      <c r="T97" s="89">
        <f t="shared" si="12"/>
        <v>0</v>
      </c>
      <c r="U97" s="90" t="str">
        <f t="shared" si="8"/>
        <v/>
      </c>
      <c r="V97" s="96" t="str">
        <f t="shared" si="13"/>
        <v/>
      </c>
      <c r="X97" s="97" t="str">
        <f t="shared" si="14"/>
        <v/>
      </c>
      <c r="Y97" s="97" t="str">
        <f t="shared" si="15"/>
        <v/>
      </c>
    </row>
    <row r="98" spans="1:25" x14ac:dyDescent="0.25">
      <c r="A98" s="97" t="str">
        <f t="shared" si="9"/>
        <v/>
      </c>
      <c r="B98" s="97" t="str">
        <f t="shared" si="10"/>
        <v/>
      </c>
      <c r="C98" s="77"/>
      <c r="D98" s="78"/>
      <c r="E98" s="80"/>
      <c r="F98" s="117"/>
      <c r="G98" s="117"/>
      <c r="H98" s="81"/>
      <c r="I98" s="82"/>
      <c r="J98" s="89">
        <f t="shared" si="6"/>
        <v>0</v>
      </c>
      <c r="K98" s="90" t="str">
        <f t="shared" si="7"/>
        <v/>
      </c>
      <c r="L98" s="97" t="str">
        <f t="shared" si="11"/>
        <v/>
      </c>
      <c r="M98" s="77"/>
      <c r="N98" s="78"/>
      <c r="O98" s="80"/>
      <c r="P98" s="117"/>
      <c r="Q98" s="117"/>
      <c r="R98" s="82"/>
      <c r="S98" s="80"/>
      <c r="T98" s="89">
        <f t="shared" si="12"/>
        <v>0</v>
      </c>
      <c r="U98" s="90" t="str">
        <f t="shared" si="8"/>
        <v/>
      </c>
      <c r="V98" s="96" t="str">
        <f t="shared" si="13"/>
        <v/>
      </c>
      <c r="X98" s="97" t="str">
        <f t="shared" si="14"/>
        <v/>
      </c>
      <c r="Y98" s="97" t="str">
        <f t="shared" si="15"/>
        <v/>
      </c>
    </row>
    <row r="99" spans="1:25" x14ac:dyDescent="0.25">
      <c r="A99" s="97" t="str">
        <f t="shared" si="9"/>
        <v/>
      </c>
      <c r="B99" s="97" t="str">
        <f t="shared" si="10"/>
        <v/>
      </c>
      <c r="C99" s="77"/>
      <c r="D99" s="78"/>
      <c r="E99" s="80"/>
      <c r="F99" s="117"/>
      <c r="G99" s="117"/>
      <c r="H99" s="81"/>
      <c r="I99" s="82"/>
      <c r="J99" s="89">
        <f t="shared" si="6"/>
        <v>0</v>
      </c>
      <c r="K99" s="90" t="str">
        <f t="shared" si="7"/>
        <v/>
      </c>
      <c r="L99" s="97" t="str">
        <f t="shared" si="11"/>
        <v/>
      </c>
      <c r="M99" s="77"/>
      <c r="N99" s="78"/>
      <c r="O99" s="80"/>
      <c r="P99" s="117"/>
      <c r="Q99" s="117"/>
      <c r="R99" s="82"/>
      <c r="S99" s="80"/>
      <c r="T99" s="89">
        <f t="shared" si="12"/>
        <v>0</v>
      </c>
      <c r="U99" s="90" t="str">
        <f t="shared" si="8"/>
        <v/>
      </c>
      <c r="V99" s="96" t="str">
        <f t="shared" si="13"/>
        <v/>
      </c>
      <c r="X99" s="97" t="str">
        <f t="shared" si="14"/>
        <v/>
      </c>
      <c r="Y99" s="97" t="str">
        <f t="shared" si="15"/>
        <v/>
      </c>
    </row>
    <row r="100" spans="1:25" x14ac:dyDescent="0.25">
      <c r="A100" s="97" t="str">
        <f t="shared" si="9"/>
        <v/>
      </c>
      <c r="B100" s="97" t="str">
        <f t="shared" si="10"/>
        <v/>
      </c>
      <c r="C100" s="77"/>
      <c r="D100" s="78"/>
      <c r="E100" s="80"/>
      <c r="F100" s="117"/>
      <c r="G100" s="117"/>
      <c r="H100" s="81"/>
      <c r="I100" s="82"/>
      <c r="J100" s="89">
        <f t="shared" ref="J100:J131" si="16">G100-G99</f>
        <v>0</v>
      </c>
      <c r="K100" s="90" t="str">
        <f t="shared" ref="K100:K131" si="17">IF(OR(I100="WORK", I100="PLAY"),J100, "")</f>
        <v/>
      </c>
      <c r="L100" s="97" t="str">
        <f t="shared" si="11"/>
        <v/>
      </c>
      <c r="M100" s="77"/>
      <c r="N100" s="78"/>
      <c r="O100" s="80"/>
      <c r="P100" s="117"/>
      <c r="Q100" s="117"/>
      <c r="R100" s="82"/>
      <c r="S100" s="80"/>
      <c r="T100" s="89">
        <f t="shared" si="12"/>
        <v>0</v>
      </c>
      <c r="U100" s="90" t="str">
        <f t="shared" si="8"/>
        <v/>
      </c>
      <c r="V100" s="96" t="str">
        <f t="shared" si="13"/>
        <v/>
      </c>
      <c r="X100" s="97" t="str">
        <f t="shared" si="14"/>
        <v/>
      </c>
      <c r="Y100" s="97" t="str">
        <f t="shared" si="15"/>
        <v/>
      </c>
    </row>
    <row r="101" spans="1:25" x14ac:dyDescent="0.25">
      <c r="A101" s="97" t="str">
        <f t="shared" ref="A101:A132" si="18">IF(I101="WORK", J101, "")</f>
        <v/>
      </c>
      <c r="B101" s="97" t="str">
        <f t="shared" ref="B101:B132" si="19">IF(I105="PLAY", J105, "")</f>
        <v/>
      </c>
      <c r="C101" s="77"/>
      <c r="D101" s="78"/>
      <c r="E101" s="80"/>
      <c r="F101" s="117"/>
      <c r="G101" s="117"/>
      <c r="H101" s="81"/>
      <c r="I101" s="82"/>
      <c r="J101" s="89">
        <f t="shared" si="16"/>
        <v>0</v>
      </c>
      <c r="K101" s="90" t="str">
        <f t="shared" si="17"/>
        <v/>
      </c>
      <c r="L101" s="97" t="str">
        <f t="shared" ref="L101:L132" si="20">IF(I101="", IF(H101="","",J101), "")</f>
        <v/>
      </c>
      <c r="M101" s="77"/>
      <c r="N101" s="78"/>
      <c r="O101" s="80"/>
      <c r="P101" s="117"/>
      <c r="Q101" s="117"/>
      <c r="R101" s="82"/>
      <c r="S101" s="80"/>
      <c r="T101" s="89">
        <f t="shared" si="12"/>
        <v>0</v>
      </c>
      <c r="U101" s="90" t="str">
        <f t="shared" si="8"/>
        <v/>
      </c>
      <c r="V101" s="96" t="str">
        <f t="shared" si="13"/>
        <v/>
      </c>
      <c r="X101" s="97" t="str">
        <f t="shared" si="14"/>
        <v/>
      </c>
      <c r="Y101" s="97" t="str">
        <f t="shared" si="15"/>
        <v/>
      </c>
    </row>
    <row r="102" spans="1:25" x14ac:dyDescent="0.25">
      <c r="A102" s="97" t="str">
        <f t="shared" si="18"/>
        <v/>
      </c>
      <c r="B102" s="97" t="str">
        <f t="shared" si="19"/>
        <v/>
      </c>
      <c r="C102" s="77"/>
      <c r="D102" s="78"/>
      <c r="E102" s="80"/>
      <c r="F102" s="117"/>
      <c r="G102" s="117"/>
      <c r="H102" s="81"/>
      <c r="I102" s="82"/>
      <c r="J102" s="89">
        <f t="shared" si="16"/>
        <v>0</v>
      </c>
      <c r="K102" s="90" t="str">
        <f t="shared" si="17"/>
        <v/>
      </c>
      <c r="L102" s="97" t="str">
        <f t="shared" si="20"/>
        <v/>
      </c>
      <c r="M102" s="77"/>
      <c r="N102" s="78"/>
      <c r="O102" s="80"/>
      <c r="P102" s="117"/>
      <c r="Q102" s="117"/>
      <c r="R102" s="82"/>
      <c r="S102" s="80"/>
      <c r="T102" s="89">
        <f t="shared" si="12"/>
        <v>0</v>
      </c>
      <c r="U102" s="90" t="str">
        <f t="shared" si="8"/>
        <v/>
      </c>
      <c r="V102" s="96" t="str">
        <f t="shared" si="13"/>
        <v/>
      </c>
      <c r="X102" s="97" t="str">
        <f t="shared" si="14"/>
        <v/>
      </c>
      <c r="Y102" s="97" t="str">
        <f t="shared" si="15"/>
        <v/>
      </c>
    </row>
    <row r="103" spans="1:25" x14ac:dyDescent="0.25">
      <c r="A103" s="97" t="str">
        <f t="shared" si="18"/>
        <v/>
      </c>
      <c r="B103" s="97" t="str">
        <f t="shared" si="19"/>
        <v/>
      </c>
      <c r="C103" s="77"/>
      <c r="D103" s="78"/>
      <c r="E103" s="80"/>
      <c r="F103" s="117"/>
      <c r="G103" s="117"/>
      <c r="H103" s="81"/>
      <c r="I103" s="82"/>
      <c r="J103" s="89">
        <f t="shared" si="16"/>
        <v>0</v>
      </c>
      <c r="K103" s="90" t="str">
        <f t="shared" si="17"/>
        <v/>
      </c>
      <c r="L103" s="97" t="str">
        <f t="shared" si="20"/>
        <v/>
      </c>
      <c r="M103" s="77"/>
      <c r="N103" s="78"/>
      <c r="O103" s="80"/>
      <c r="P103" s="117"/>
      <c r="Q103" s="117"/>
      <c r="R103" s="82"/>
      <c r="S103" s="80"/>
      <c r="T103" s="89">
        <f t="shared" si="12"/>
        <v>0</v>
      </c>
      <c r="U103" s="90" t="str">
        <f t="shared" si="8"/>
        <v/>
      </c>
      <c r="V103" s="96" t="str">
        <f t="shared" si="13"/>
        <v/>
      </c>
      <c r="X103" s="97" t="str">
        <f t="shared" si="14"/>
        <v/>
      </c>
      <c r="Y103" s="97" t="str">
        <f t="shared" si="15"/>
        <v/>
      </c>
    </row>
    <row r="104" spans="1:25" x14ac:dyDescent="0.25">
      <c r="A104" s="97" t="str">
        <f t="shared" si="18"/>
        <v/>
      </c>
      <c r="B104" s="97" t="str">
        <f t="shared" si="19"/>
        <v/>
      </c>
      <c r="C104" s="77"/>
      <c r="D104" s="78"/>
      <c r="E104" s="80"/>
      <c r="F104" s="117"/>
      <c r="G104" s="117"/>
      <c r="H104" s="81"/>
      <c r="I104" s="82"/>
      <c r="J104" s="89">
        <f t="shared" si="16"/>
        <v>0</v>
      </c>
      <c r="K104" s="90" t="str">
        <f t="shared" si="17"/>
        <v/>
      </c>
      <c r="L104" s="97" t="str">
        <f t="shared" si="20"/>
        <v/>
      </c>
      <c r="M104" s="77"/>
      <c r="N104" s="78"/>
      <c r="O104" s="80"/>
      <c r="P104" s="117"/>
      <c r="Q104" s="117"/>
      <c r="R104" s="82"/>
      <c r="S104" s="80"/>
      <c r="T104" s="89">
        <f t="shared" si="12"/>
        <v>0</v>
      </c>
      <c r="U104" s="90" t="str">
        <f t="shared" si="8"/>
        <v/>
      </c>
      <c r="V104" s="96" t="str">
        <f t="shared" si="13"/>
        <v/>
      </c>
      <c r="X104" s="97" t="str">
        <f t="shared" si="14"/>
        <v/>
      </c>
      <c r="Y104" s="97" t="str">
        <f t="shared" si="15"/>
        <v/>
      </c>
    </row>
    <row r="105" spans="1:25" x14ac:dyDescent="0.25">
      <c r="A105" s="97" t="str">
        <f t="shared" si="18"/>
        <v/>
      </c>
      <c r="B105" s="97" t="str">
        <f t="shared" si="19"/>
        <v/>
      </c>
      <c r="C105" s="77"/>
      <c r="D105" s="78"/>
      <c r="E105" s="80"/>
      <c r="F105" s="117"/>
      <c r="G105" s="117"/>
      <c r="H105" s="81"/>
      <c r="I105" s="82"/>
      <c r="J105" s="89">
        <f t="shared" si="16"/>
        <v>0</v>
      </c>
      <c r="K105" s="90" t="str">
        <f t="shared" si="17"/>
        <v/>
      </c>
      <c r="L105" s="97" t="str">
        <f t="shared" si="20"/>
        <v/>
      </c>
      <c r="M105" s="77"/>
      <c r="N105" s="78"/>
      <c r="O105" s="80"/>
      <c r="P105" s="117"/>
      <c r="Q105" s="117"/>
      <c r="R105" s="82"/>
      <c r="S105" s="80"/>
      <c r="T105" s="89">
        <f t="shared" si="12"/>
        <v>0</v>
      </c>
      <c r="U105" s="90" t="str">
        <f t="shared" si="8"/>
        <v/>
      </c>
      <c r="V105" s="96" t="str">
        <f t="shared" si="13"/>
        <v/>
      </c>
      <c r="X105" s="97" t="str">
        <f t="shared" si="14"/>
        <v/>
      </c>
      <c r="Y105" s="97" t="str">
        <f t="shared" si="15"/>
        <v/>
      </c>
    </row>
    <row r="106" spans="1:25" x14ac:dyDescent="0.25">
      <c r="A106" s="97" t="str">
        <f t="shared" si="18"/>
        <v/>
      </c>
      <c r="B106" s="97" t="str">
        <f t="shared" si="19"/>
        <v/>
      </c>
      <c r="C106" s="77"/>
      <c r="D106" s="78"/>
      <c r="E106" s="80"/>
      <c r="F106" s="117"/>
      <c r="G106" s="117"/>
      <c r="H106" s="81"/>
      <c r="I106" s="82"/>
      <c r="J106" s="89">
        <f t="shared" si="16"/>
        <v>0</v>
      </c>
      <c r="K106" s="90" t="str">
        <f t="shared" si="17"/>
        <v/>
      </c>
      <c r="L106" s="97" t="str">
        <f t="shared" si="20"/>
        <v/>
      </c>
      <c r="M106" s="77"/>
      <c r="N106" s="78"/>
      <c r="O106" s="80"/>
      <c r="P106" s="117"/>
      <c r="Q106" s="117"/>
      <c r="R106" s="82"/>
      <c r="S106" s="80"/>
      <c r="T106" s="89">
        <f t="shared" si="12"/>
        <v>0</v>
      </c>
      <c r="U106" s="90" t="str">
        <f t="shared" si="8"/>
        <v/>
      </c>
      <c r="V106" s="96" t="str">
        <f t="shared" si="13"/>
        <v/>
      </c>
      <c r="X106" s="97" t="str">
        <f t="shared" si="14"/>
        <v/>
      </c>
      <c r="Y106" s="97" t="str">
        <f t="shared" si="15"/>
        <v/>
      </c>
    </row>
    <row r="107" spans="1:25" x14ac:dyDescent="0.25">
      <c r="A107" s="97" t="str">
        <f t="shared" si="18"/>
        <v/>
      </c>
      <c r="B107" s="97" t="str">
        <f t="shared" si="19"/>
        <v/>
      </c>
      <c r="C107" s="77"/>
      <c r="D107" s="78"/>
      <c r="E107" s="80"/>
      <c r="F107" s="117"/>
      <c r="G107" s="117"/>
      <c r="H107" s="81"/>
      <c r="I107" s="82"/>
      <c r="J107" s="89">
        <f t="shared" si="16"/>
        <v>0</v>
      </c>
      <c r="K107" s="90" t="str">
        <f t="shared" si="17"/>
        <v/>
      </c>
      <c r="L107" s="97" t="str">
        <f t="shared" si="20"/>
        <v/>
      </c>
      <c r="M107" s="77"/>
      <c r="N107" s="78"/>
      <c r="O107" s="80"/>
      <c r="P107" s="117"/>
      <c r="Q107" s="117"/>
      <c r="R107" s="82"/>
      <c r="S107" s="80"/>
      <c r="T107" s="89">
        <f t="shared" si="12"/>
        <v>0</v>
      </c>
      <c r="U107" s="90" t="str">
        <f t="shared" si="8"/>
        <v/>
      </c>
      <c r="V107" s="96" t="str">
        <f t="shared" si="13"/>
        <v/>
      </c>
      <c r="X107" s="97" t="str">
        <f t="shared" si="14"/>
        <v/>
      </c>
      <c r="Y107" s="97" t="str">
        <f t="shared" si="15"/>
        <v/>
      </c>
    </row>
    <row r="108" spans="1:25" x14ac:dyDescent="0.25">
      <c r="A108" s="97" t="str">
        <f t="shared" si="18"/>
        <v/>
      </c>
      <c r="B108" s="97" t="str">
        <f t="shared" si="19"/>
        <v/>
      </c>
      <c r="C108" s="77"/>
      <c r="D108" s="78"/>
      <c r="E108" s="80"/>
      <c r="F108" s="117"/>
      <c r="G108" s="117"/>
      <c r="H108" s="81"/>
      <c r="I108" s="82"/>
      <c r="J108" s="89">
        <f t="shared" si="16"/>
        <v>0</v>
      </c>
      <c r="K108" s="90" t="str">
        <f t="shared" si="17"/>
        <v/>
      </c>
      <c r="L108" s="97" t="str">
        <f t="shared" si="20"/>
        <v/>
      </c>
      <c r="M108" s="77"/>
      <c r="N108" s="78"/>
      <c r="O108" s="80"/>
      <c r="P108" s="117"/>
      <c r="Q108" s="117"/>
      <c r="R108" s="82"/>
      <c r="S108" s="80"/>
      <c r="T108" s="89">
        <f t="shared" si="12"/>
        <v>0</v>
      </c>
      <c r="U108" s="90" t="str">
        <f t="shared" si="8"/>
        <v/>
      </c>
      <c r="V108" s="96" t="str">
        <f t="shared" si="13"/>
        <v/>
      </c>
      <c r="X108" s="97" t="str">
        <f t="shared" si="14"/>
        <v/>
      </c>
      <c r="Y108" s="97" t="str">
        <f t="shared" si="15"/>
        <v/>
      </c>
    </row>
    <row r="109" spans="1:25" x14ac:dyDescent="0.25">
      <c r="A109" s="97" t="str">
        <f t="shared" si="18"/>
        <v/>
      </c>
      <c r="B109" s="97" t="str">
        <f t="shared" si="19"/>
        <v/>
      </c>
      <c r="C109" s="77"/>
      <c r="D109" s="78"/>
      <c r="E109" s="80"/>
      <c r="F109" s="117"/>
      <c r="G109" s="117"/>
      <c r="H109" s="81"/>
      <c r="I109" s="82"/>
      <c r="J109" s="89">
        <f t="shared" si="16"/>
        <v>0</v>
      </c>
      <c r="K109" s="90" t="str">
        <f t="shared" si="17"/>
        <v/>
      </c>
      <c r="L109" s="97" t="str">
        <f t="shared" si="20"/>
        <v/>
      </c>
      <c r="M109" s="77"/>
      <c r="N109" s="78"/>
      <c r="O109" s="80"/>
      <c r="P109" s="117"/>
      <c r="Q109" s="117"/>
      <c r="R109" s="82"/>
      <c r="S109" s="80"/>
      <c r="T109" s="89">
        <f t="shared" si="12"/>
        <v>0</v>
      </c>
      <c r="U109" s="90" t="str">
        <f t="shared" si="8"/>
        <v/>
      </c>
      <c r="V109" s="96" t="str">
        <f t="shared" si="13"/>
        <v/>
      </c>
      <c r="X109" s="97" t="str">
        <f t="shared" si="14"/>
        <v/>
      </c>
      <c r="Y109" s="97" t="str">
        <f t="shared" si="15"/>
        <v/>
      </c>
    </row>
    <row r="110" spans="1:25" x14ac:dyDescent="0.25">
      <c r="A110" s="97" t="str">
        <f t="shared" si="18"/>
        <v/>
      </c>
      <c r="B110" s="97" t="str">
        <f t="shared" si="19"/>
        <v/>
      </c>
      <c r="C110" s="77"/>
      <c r="D110" s="78"/>
      <c r="E110" s="80"/>
      <c r="F110" s="117"/>
      <c r="G110" s="117"/>
      <c r="H110" s="81"/>
      <c r="I110" s="82"/>
      <c r="J110" s="89">
        <f t="shared" si="16"/>
        <v>0</v>
      </c>
      <c r="K110" s="90" t="str">
        <f t="shared" si="17"/>
        <v/>
      </c>
      <c r="L110" s="97" t="str">
        <f t="shared" si="20"/>
        <v/>
      </c>
      <c r="M110" s="77"/>
      <c r="N110" s="78"/>
      <c r="O110" s="80"/>
      <c r="P110" s="117"/>
      <c r="Q110" s="117"/>
      <c r="R110" s="82"/>
      <c r="S110" s="80"/>
      <c r="T110" s="89">
        <f t="shared" si="12"/>
        <v>0</v>
      </c>
      <c r="U110" s="90" t="str">
        <f t="shared" si="8"/>
        <v/>
      </c>
      <c r="V110" s="96" t="str">
        <f t="shared" si="13"/>
        <v/>
      </c>
      <c r="X110" s="97" t="str">
        <f t="shared" si="14"/>
        <v/>
      </c>
      <c r="Y110" s="97" t="str">
        <f t="shared" si="15"/>
        <v/>
      </c>
    </row>
    <row r="111" spans="1:25" x14ac:dyDescent="0.25">
      <c r="A111" s="97" t="str">
        <f t="shared" si="18"/>
        <v/>
      </c>
      <c r="B111" s="97" t="str">
        <f t="shared" si="19"/>
        <v/>
      </c>
      <c r="C111" s="77"/>
      <c r="D111" s="78"/>
      <c r="E111" s="80"/>
      <c r="F111" s="117"/>
      <c r="G111" s="117"/>
      <c r="H111" s="81"/>
      <c r="I111" s="82"/>
      <c r="J111" s="89">
        <f t="shared" si="16"/>
        <v>0</v>
      </c>
      <c r="K111" s="90" t="str">
        <f t="shared" si="17"/>
        <v/>
      </c>
      <c r="L111" s="97" t="str">
        <f t="shared" si="20"/>
        <v/>
      </c>
      <c r="M111" s="77"/>
      <c r="N111" s="78"/>
      <c r="O111" s="80"/>
      <c r="P111" s="117"/>
      <c r="Q111" s="117"/>
      <c r="R111" s="82"/>
      <c r="S111" s="80"/>
      <c r="T111" s="89">
        <f t="shared" si="12"/>
        <v>0</v>
      </c>
      <c r="U111" s="90" t="str">
        <f t="shared" si="8"/>
        <v/>
      </c>
      <c r="V111" s="96" t="str">
        <f t="shared" si="13"/>
        <v/>
      </c>
      <c r="X111" s="97" t="str">
        <f t="shared" si="14"/>
        <v/>
      </c>
      <c r="Y111" s="97" t="str">
        <f t="shared" si="15"/>
        <v/>
      </c>
    </row>
    <row r="112" spans="1:25" x14ac:dyDescent="0.25">
      <c r="A112" s="97" t="str">
        <f t="shared" si="18"/>
        <v/>
      </c>
      <c r="B112" s="97" t="str">
        <f t="shared" si="19"/>
        <v/>
      </c>
      <c r="C112" s="77"/>
      <c r="D112" s="78"/>
      <c r="E112" s="80"/>
      <c r="F112" s="117"/>
      <c r="G112" s="117"/>
      <c r="H112" s="81"/>
      <c r="I112" s="82"/>
      <c r="J112" s="89">
        <f t="shared" si="16"/>
        <v>0</v>
      </c>
      <c r="K112" s="90" t="str">
        <f t="shared" si="17"/>
        <v/>
      </c>
      <c r="L112" s="97" t="str">
        <f t="shared" si="20"/>
        <v/>
      </c>
      <c r="M112" s="77"/>
      <c r="N112" s="78"/>
      <c r="O112" s="80"/>
      <c r="P112" s="117"/>
      <c r="Q112" s="117"/>
      <c r="R112" s="82"/>
      <c r="S112" s="80"/>
      <c r="T112" s="89">
        <f t="shared" si="12"/>
        <v>0</v>
      </c>
      <c r="U112" s="90" t="str">
        <f t="shared" si="8"/>
        <v/>
      </c>
      <c r="V112" s="96" t="str">
        <f t="shared" si="13"/>
        <v/>
      </c>
      <c r="X112" s="97" t="str">
        <f t="shared" si="14"/>
        <v/>
      </c>
      <c r="Y112" s="97" t="str">
        <f t="shared" si="15"/>
        <v/>
      </c>
    </row>
    <row r="113" spans="1:25" x14ac:dyDescent="0.25">
      <c r="A113" s="97" t="str">
        <f t="shared" si="18"/>
        <v/>
      </c>
      <c r="B113" s="97" t="str">
        <f t="shared" si="19"/>
        <v/>
      </c>
      <c r="C113" s="77"/>
      <c r="D113" s="78"/>
      <c r="E113" s="80"/>
      <c r="F113" s="117"/>
      <c r="G113" s="117"/>
      <c r="H113" s="81"/>
      <c r="I113" s="82"/>
      <c r="J113" s="89">
        <f t="shared" si="16"/>
        <v>0</v>
      </c>
      <c r="K113" s="90" t="str">
        <f t="shared" si="17"/>
        <v/>
      </c>
      <c r="L113" s="97" t="str">
        <f t="shared" si="20"/>
        <v/>
      </c>
      <c r="M113" s="77"/>
      <c r="N113" s="78"/>
      <c r="O113" s="80"/>
      <c r="P113" s="117"/>
      <c r="Q113" s="117"/>
      <c r="R113" s="82"/>
      <c r="S113" s="80"/>
      <c r="T113" s="89">
        <f t="shared" si="12"/>
        <v>0</v>
      </c>
      <c r="U113" s="90" t="str">
        <f t="shared" si="8"/>
        <v/>
      </c>
      <c r="V113" s="96" t="str">
        <f t="shared" si="13"/>
        <v/>
      </c>
      <c r="X113" s="97" t="str">
        <f t="shared" si="14"/>
        <v/>
      </c>
      <c r="Y113" s="97" t="str">
        <f t="shared" si="15"/>
        <v/>
      </c>
    </row>
    <row r="114" spans="1:25" x14ac:dyDescent="0.25">
      <c r="A114" s="97" t="str">
        <f t="shared" si="18"/>
        <v/>
      </c>
      <c r="B114" s="97" t="str">
        <f t="shared" si="19"/>
        <v/>
      </c>
      <c r="C114" s="77"/>
      <c r="D114" s="78"/>
      <c r="E114" s="80"/>
      <c r="F114" s="117"/>
      <c r="G114" s="117"/>
      <c r="H114" s="81"/>
      <c r="I114" s="82"/>
      <c r="J114" s="89">
        <f t="shared" si="16"/>
        <v>0</v>
      </c>
      <c r="K114" s="90" t="str">
        <f t="shared" si="17"/>
        <v/>
      </c>
      <c r="L114" s="97" t="str">
        <f t="shared" si="20"/>
        <v/>
      </c>
      <c r="M114" s="77"/>
      <c r="N114" s="78"/>
      <c r="O114" s="80"/>
      <c r="P114" s="117"/>
      <c r="Q114" s="117"/>
      <c r="R114" s="82"/>
      <c r="S114" s="80"/>
      <c r="T114" s="89">
        <f t="shared" si="12"/>
        <v>0</v>
      </c>
      <c r="U114" s="90" t="str">
        <f t="shared" si="8"/>
        <v/>
      </c>
      <c r="V114" s="96" t="str">
        <f t="shared" si="13"/>
        <v/>
      </c>
      <c r="X114" s="97" t="str">
        <f t="shared" si="14"/>
        <v/>
      </c>
      <c r="Y114" s="97" t="str">
        <f t="shared" si="15"/>
        <v/>
      </c>
    </row>
    <row r="115" spans="1:25" x14ac:dyDescent="0.25">
      <c r="A115" s="97" t="str">
        <f t="shared" si="18"/>
        <v/>
      </c>
      <c r="B115" s="97" t="str">
        <f t="shared" si="19"/>
        <v/>
      </c>
      <c r="C115" s="77"/>
      <c r="D115" s="78"/>
      <c r="E115" s="80"/>
      <c r="F115" s="117"/>
      <c r="G115" s="117"/>
      <c r="H115" s="81"/>
      <c r="I115" s="82"/>
      <c r="J115" s="89">
        <f t="shared" si="16"/>
        <v>0</v>
      </c>
      <c r="K115" s="90" t="str">
        <f t="shared" si="17"/>
        <v/>
      </c>
      <c r="L115" s="97" t="str">
        <f t="shared" si="20"/>
        <v/>
      </c>
      <c r="M115" s="77"/>
      <c r="N115" s="78"/>
      <c r="O115" s="80"/>
      <c r="P115" s="117"/>
      <c r="Q115" s="117"/>
      <c r="R115" s="82"/>
      <c r="S115" s="80"/>
      <c r="T115" s="89">
        <f t="shared" si="12"/>
        <v>0</v>
      </c>
      <c r="U115" s="90" t="str">
        <f t="shared" si="8"/>
        <v/>
      </c>
      <c r="V115" s="96" t="str">
        <f t="shared" si="13"/>
        <v/>
      </c>
      <c r="X115" s="97" t="str">
        <f t="shared" si="14"/>
        <v/>
      </c>
      <c r="Y115" s="97" t="str">
        <f t="shared" si="15"/>
        <v/>
      </c>
    </row>
    <row r="116" spans="1:25" x14ac:dyDescent="0.25">
      <c r="A116" s="97" t="str">
        <f t="shared" si="18"/>
        <v/>
      </c>
      <c r="B116" s="97" t="str">
        <f t="shared" si="19"/>
        <v/>
      </c>
      <c r="C116" s="77"/>
      <c r="D116" s="78"/>
      <c r="E116" s="80"/>
      <c r="F116" s="117"/>
      <c r="G116" s="117"/>
      <c r="H116" s="81"/>
      <c r="I116" s="82"/>
      <c r="J116" s="89">
        <f t="shared" si="16"/>
        <v>0</v>
      </c>
      <c r="K116" s="90" t="str">
        <f t="shared" si="17"/>
        <v/>
      </c>
      <c r="L116" s="97" t="str">
        <f t="shared" si="20"/>
        <v/>
      </c>
      <c r="M116" s="77"/>
      <c r="N116" s="78"/>
      <c r="O116" s="80"/>
      <c r="P116" s="117"/>
      <c r="Q116" s="117"/>
      <c r="R116" s="82"/>
      <c r="S116" s="80"/>
      <c r="T116" s="89">
        <f t="shared" si="12"/>
        <v>0</v>
      </c>
      <c r="U116" s="90" t="str">
        <f t="shared" si="8"/>
        <v/>
      </c>
      <c r="V116" s="96" t="str">
        <f t="shared" si="13"/>
        <v/>
      </c>
      <c r="X116" s="97" t="str">
        <f t="shared" si="14"/>
        <v/>
      </c>
      <c r="Y116" s="97" t="str">
        <f t="shared" si="15"/>
        <v/>
      </c>
    </row>
    <row r="117" spans="1:25" x14ac:dyDescent="0.25">
      <c r="A117" s="97" t="str">
        <f t="shared" si="18"/>
        <v/>
      </c>
      <c r="B117" s="97" t="str">
        <f t="shared" si="19"/>
        <v/>
      </c>
      <c r="C117" s="77"/>
      <c r="D117" s="78"/>
      <c r="E117" s="80"/>
      <c r="F117" s="117"/>
      <c r="G117" s="117"/>
      <c r="H117" s="81"/>
      <c r="I117" s="82"/>
      <c r="J117" s="89">
        <f t="shared" si="16"/>
        <v>0</v>
      </c>
      <c r="K117" s="90" t="str">
        <f t="shared" si="17"/>
        <v/>
      </c>
      <c r="L117" s="97" t="str">
        <f t="shared" si="20"/>
        <v/>
      </c>
      <c r="M117" s="77"/>
      <c r="N117" s="78"/>
      <c r="O117" s="80"/>
      <c r="P117" s="117"/>
      <c r="Q117" s="117"/>
      <c r="R117" s="82"/>
      <c r="S117" s="80"/>
      <c r="T117" s="89">
        <f t="shared" si="12"/>
        <v>0</v>
      </c>
      <c r="U117" s="90" t="str">
        <f t="shared" si="8"/>
        <v/>
      </c>
      <c r="V117" s="96" t="str">
        <f t="shared" si="13"/>
        <v/>
      </c>
      <c r="X117" s="97" t="str">
        <f t="shared" si="14"/>
        <v/>
      </c>
      <c r="Y117" s="97" t="str">
        <f t="shared" si="15"/>
        <v/>
      </c>
    </row>
    <row r="118" spans="1:25" x14ac:dyDescent="0.25">
      <c r="A118" s="97" t="str">
        <f t="shared" si="18"/>
        <v/>
      </c>
      <c r="B118" s="97" t="str">
        <f t="shared" si="19"/>
        <v/>
      </c>
      <c r="C118" s="77"/>
      <c r="D118" s="78"/>
      <c r="E118" s="80"/>
      <c r="F118" s="117"/>
      <c r="G118" s="117"/>
      <c r="H118" s="81"/>
      <c r="I118" s="82"/>
      <c r="J118" s="89">
        <f t="shared" si="16"/>
        <v>0</v>
      </c>
      <c r="K118" s="90" t="str">
        <f t="shared" si="17"/>
        <v/>
      </c>
      <c r="L118" s="97" t="str">
        <f t="shared" si="20"/>
        <v/>
      </c>
      <c r="M118" s="77"/>
      <c r="N118" s="78"/>
      <c r="O118" s="80"/>
      <c r="P118" s="117"/>
      <c r="Q118" s="117"/>
      <c r="R118" s="82"/>
      <c r="S118" s="80"/>
      <c r="T118" s="89">
        <f t="shared" si="12"/>
        <v>0</v>
      </c>
      <c r="U118" s="90" t="str">
        <f t="shared" si="8"/>
        <v/>
      </c>
      <c r="V118" s="96" t="str">
        <f t="shared" si="13"/>
        <v/>
      </c>
      <c r="X118" s="97" t="str">
        <f t="shared" si="14"/>
        <v/>
      </c>
      <c r="Y118" s="97" t="str">
        <f t="shared" si="15"/>
        <v/>
      </c>
    </row>
    <row r="119" spans="1:25" x14ac:dyDescent="0.25">
      <c r="A119" s="97" t="str">
        <f t="shared" si="18"/>
        <v/>
      </c>
      <c r="B119" s="97" t="str">
        <f t="shared" si="19"/>
        <v/>
      </c>
      <c r="C119" s="77"/>
      <c r="D119" s="78"/>
      <c r="E119" s="80"/>
      <c r="F119" s="117"/>
      <c r="G119" s="117"/>
      <c r="H119" s="81"/>
      <c r="I119" s="82"/>
      <c r="J119" s="89">
        <f t="shared" si="16"/>
        <v>0</v>
      </c>
      <c r="K119" s="90" t="str">
        <f t="shared" si="17"/>
        <v/>
      </c>
      <c r="L119" s="97" t="str">
        <f t="shared" si="20"/>
        <v/>
      </c>
      <c r="M119" s="77"/>
      <c r="N119" s="78"/>
      <c r="O119" s="80"/>
      <c r="P119" s="117"/>
      <c r="Q119" s="117"/>
      <c r="R119" s="82"/>
      <c r="S119" s="80"/>
      <c r="T119" s="89">
        <f t="shared" si="12"/>
        <v>0</v>
      </c>
      <c r="U119" s="90" t="str">
        <f t="shared" si="8"/>
        <v/>
      </c>
      <c r="V119" s="96" t="str">
        <f t="shared" si="13"/>
        <v/>
      </c>
      <c r="X119" s="97" t="str">
        <f t="shared" si="14"/>
        <v/>
      </c>
      <c r="Y119" s="97" t="str">
        <f t="shared" si="15"/>
        <v/>
      </c>
    </row>
    <row r="120" spans="1:25" x14ac:dyDescent="0.25">
      <c r="A120" s="97" t="str">
        <f t="shared" si="18"/>
        <v/>
      </c>
      <c r="B120" s="97" t="str">
        <f t="shared" si="19"/>
        <v/>
      </c>
      <c r="C120" s="77"/>
      <c r="D120" s="78"/>
      <c r="E120" s="80"/>
      <c r="F120" s="117"/>
      <c r="G120" s="117"/>
      <c r="H120" s="81"/>
      <c r="I120" s="82"/>
      <c r="J120" s="89">
        <f t="shared" si="16"/>
        <v>0</v>
      </c>
      <c r="K120" s="90" t="str">
        <f t="shared" si="17"/>
        <v/>
      </c>
      <c r="L120" s="97" t="str">
        <f t="shared" si="20"/>
        <v/>
      </c>
      <c r="M120" s="77"/>
      <c r="N120" s="78"/>
      <c r="O120" s="80"/>
      <c r="P120" s="117"/>
      <c r="Q120" s="117"/>
      <c r="R120" s="82"/>
      <c r="S120" s="80"/>
      <c r="T120" s="89">
        <f t="shared" si="12"/>
        <v>0</v>
      </c>
      <c r="U120" s="90" t="str">
        <f t="shared" si="8"/>
        <v/>
      </c>
      <c r="V120" s="96" t="str">
        <f t="shared" si="13"/>
        <v/>
      </c>
      <c r="X120" s="97" t="str">
        <f t="shared" si="14"/>
        <v/>
      </c>
      <c r="Y120" s="97" t="str">
        <f t="shared" si="15"/>
        <v/>
      </c>
    </row>
    <row r="121" spans="1:25" x14ac:dyDescent="0.25">
      <c r="A121" s="97" t="str">
        <f t="shared" si="18"/>
        <v/>
      </c>
      <c r="B121" s="97" t="str">
        <f t="shared" si="19"/>
        <v/>
      </c>
      <c r="C121" s="77"/>
      <c r="D121" s="78"/>
      <c r="E121" s="80"/>
      <c r="F121" s="117"/>
      <c r="G121" s="117"/>
      <c r="H121" s="81"/>
      <c r="I121" s="82"/>
      <c r="J121" s="89">
        <f t="shared" si="16"/>
        <v>0</v>
      </c>
      <c r="K121" s="90" t="str">
        <f t="shared" si="17"/>
        <v/>
      </c>
      <c r="L121" s="97" t="str">
        <f t="shared" si="20"/>
        <v/>
      </c>
      <c r="M121" s="77"/>
      <c r="N121" s="78"/>
      <c r="O121" s="80"/>
      <c r="P121" s="117"/>
      <c r="Q121" s="117"/>
      <c r="R121" s="82"/>
      <c r="S121" s="80"/>
      <c r="T121" s="89">
        <f t="shared" si="12"/>
        <v>0</v>
      </c>
      <c r="U121" s="90" t="str">
        <f t="shared" si="8"/>
        <v/>
      </c>
      <c r="V121" s="96" t="str">
        <f t="shared" si="13"/>
        <v/>
      </c>
      <c r="X121" s="97" t="str">
        <f t="shared" si="14"/>
        <v/>
      </c>
      <c r="Y121" s="97" t="str">
        <f t="shared" si="15"/>
        <v/>
      </c>
    </row>
    <row r="122" spans="1:25" x14ac:dyDescent="0.25">
      <c r="A122" s="97" t="str">
        <f t="shared" si="18"/>
        <v/>
      </c>
      <c r="B122" s="97" t="str">
        <f t="shared" si="19"/>
        <v/>
      </c>
      <c r="C122" s="77"/>
      <c r="D122" s="78"/>
      <c r="E122" s="80"/>
      <c r="F122" s="117"/>
      <c r="G122" s="117"/>
      <c r="H122" s="81"/>
      <c r="I122" s="82"/>
      <c r="J122" s="89">
        <f t="shared" si="16"/>
        <v>0</v>
      </c>
      <c r="K122" s="90" t="str">
        <f t="shared" si="17"/>
        <v/>
      </c>
      <c r="L122" s="97" t="str">
        <f t="shared" si="20"/>
        <v/>
      </c>
      <c r="M122" s="77"/>
      <c r="N122" s="78"/>
      <c r="O122" s="80"/>
      <c r="P122" s="117"/>
      <c r="Q122" s="117"/>
      <c r="R122" s="82"/>
      <c r="S122" s="80"/>
      <c r="T122" s="89">
        <f t="shared" si="12"/>
        <v>0</v>
      </c>
      <c r="U122" s="90" t="str">
        <f t="shared" si="8"/>
        <v/>
      </c>
      <c r="V122" s="96" t="str">
        <f t="shared" si="13"/>
        <v/>
      </c>
      <c r="X122" s="97" t="str">
        <f t="shared" si="14"/>
        <v/>
      </c>
      <c r="Y122" s="97" t="str">
        <f t="shared" si="15"/>
        <v/>
      </c>
    </row>
    <row r="123" spans="1:25" x14ac:dyDescent="0.25">
      <c r="A123" s="97" t="str">
        <f t="shared" si="18"/>
        <v/>
      </c>
      <c r="B123" s="97" t="str">
        <f t="shared" si="19"/>
        <v/>
      </c>
      <c r="C123" s="77"/>
      <c r="D123" s="78"/>
      <c r="E123" s="80"/>
      <c r="F123" s="117"/>
      <c r="G123" s="117"/>
      <c r="H123" s="81"/>
      <c r="I123" s="82"/>
      <c r="J123" s="89">
        <f t="shared" si="16"/>
        <v>0</v>
      </c>
      <c r="K123" s="90" t="str">
        <f t="shared" si="17"/>
        <v/>
      </c>
      <c r="L123" s="97" t="str">
        <f t="shared" si="20"/>
        <v/>
      </c>
      <c r="M123" s="77"/>
      <c r="N123" s="78"/>
      <c r="O123" s="80"/>
      <c r="P123" s="117"/>
      <c r="Q123" s="117"/>
      <c r="R123" s="82"/>
      <c r="S123" s="80"/>
      <c r="T123" s="89">
        <f t="shared" si="12"/>
        <v>0</v>
      </c>
      <c r="U123" s="90" t="str">
        <f t="shared" si="8"/>
        <v/>
      </c>
      <c r="V123" s="96" t="str">
        <f t="shared" si="13"/>
        <v/>
      </c>
      <c r="X123" s="97" t="str">
        <f t="shared" si="14"/>
        <v/>
      </c>
      <c r="Y123" s="97" t="str">
        <f t="shared" si="15"/>
        <v/>
      </c>
    </row>
    <row r="124" spans="1:25" x14ac:dyDescent="0.25">
      <c r="A124" s="97" t="str">
        <f t="shared" si="18"/>
        <v/>
      </c>
      <c r="B124" s="97" t="str">
        <f t="shared" si="19"/>
        <v/>
      </c>
      <c r="C124" s="77"/>
      <c r="D124" s="78"/>
      <c r="E124" s="80"/>
      <c r="F124" s="117"/>
      <c r="G124" s="117"/>
      <c r="H124" s="81"/>
      <c r="I124" s="82"/>
      <c r="J124" s="89">
        <f t="shared" si="16"/>
        <v>0</v>
      </c>
      <c r="K124" s="90" t="str">
        <f t="shared" si="17"/>
        <v/>
      </c>
      <c r="L124" s="97" t="str">
        <f t="shared" si="20"/>
        <v/>
      </c>
      <c r="M124" s="77"/>
      <c r="N124" s="78"/>
      <c r="O124" s="80"/>
      <c r="P124" s="117"/>
      <c r="Q124" s="117"/>
      <c r="R124" s="82"/>
      <c r="S124" s="80"/>
      <c r="T124" s="89">
        <f t="shared" si="12"/>
        <v>0</v>
      </c>
      <c r="U124" s="90" t="str">
        <f t="shared" si="8"/>
        <v/>
      </c>
      <c r="V124" s="96" t="str">
        <f t="shared" si="13"/>
        <v/>
      </c>
      <c r="X124" s="97" t="str">
        <f t="shared" si="14"/>
        <v/>
      </c>
      <c r="Y124" s="97" t="str">
        <f t="shared" si="15"/>
        <v/>
      </c>
    </row>
    <row r="125" spans="1:25" x14ac:dyDescent="0.25">
      <c r="A125" s="97" t="str">
        <f t="shared" si="18"/>
        <v/>
      </c>
      <c r="B125" s="97" t="str">
        <f t="shared" si="19"/>
        <v/>
      </c>
      <c r="C125" s="77"/>
      <c r="D125" s="78"/>
      <c r="E125" s="80"/>
      <c r="F125" s="117"/>
      <c r="G125" s="117"/>
      <c r="H125" s="81"/>
      <c r="I125" s="82"/>
      <c r="J125" s="89">
        <f t="shared" si="16"/>
        <v>0</v>
      </c>
      <c r="K125" s="90" t="str">
        <f t="shared" si="17"/>
        <v/>
      </c>
      <c r="L125" s="97" t="str">
        <f t="shared" si="20"/>
        <v/>
      </c>
      <c r="M125" s="77"/>
      <c r="N125" s="78"/>
      <c r="O125" s="80"/>
      <c r="P125" s="117"/>
      <c r="Q125" s="117"/>
      <c r="R125" s="82"/>
      <c r="S125" s="80"/>
      <c r="T125" s="89">
        <f t="shared" si="12"/>
        <v>0</v>
      </c>
      <c r="U125" s="90" t="str">
        <f t="shared" si="8"/>
        <v/>
      </c>
      <c r="V125" s="96" t="str">
        <f t="shared" si="13"/>
        <v/>
      </c>
      <c r="X125" s="97" t="str">
        <f t="shared" si="14"/>
        <v/>
      </c>
      <c r="Y125" s="97" t="str">
        <f t="shared" si="15"/>
        <v/>
      </c>
    </row>
    <row r="126" spans="1:25" x14ac:dyDescent="0.25">
      <c r="A126" s="97" t="str">
        <f t="shared" si="18"/>
        <v/>
      </c>
      <c r="B126" s="97" t="str">
        <f t="shared" si="19"/>
        <v/>
      </c>
      <c r="C126" s="77"/>
      <c r="D126" s="78"/>
      <c r="E126" s="80"/>
      <c r="F126" s="117"/>
      <c r="G126" s="117"/>
      <c r="H126" s="81"/>
      <c r="I126" s="82"/>
      <c r="J126" s="89">
        <f t="shared" si="16"/>
        <v>0</v>
      </c>
      <c r="K126" s="90" t="str">
        <f t="shared" si="17"/>
        <v/>
      </c>
      <c r="L126" s="97" t="str">
        <f t="shared" si="20"/>
        <v/>
      </c>
      <c r="M126" s="77"/>
      <c r="N126" s="78"/>
      <c r="O126" s="80"/>
      <c r="P126" s="117"/>
      <c r="Q126" s="117"/>
      <c r="R126" s="82"/>
      <c r="S126" s="80"/>
      <c r="T126" s="89">
        <f t="shared" si="12"/>
        <v>0</v>
      </c>
      <c r="U126" s="90" t="str">
        <f t="shared" si="8"/>
        <v/>
      </c>
      <c r="V126" s="96" t="str">
        <f t="shared" si="13"/>
        <v/>
      </c>
      <c r="X126" s="97" t="str">
        <f t="shared" si="14"/>
        <v/>
      </c>
      <c r="Y126" s="97" t="str">
        <f t="shared" si="15"/>
        <v/>
      </c>
    </row>
    <row r="127" spans="1:25" x14ac:dyDescent="0.25">
      <c r="A127" s="97" t="str">
        <f t="shared" si="18"/>
        <v/>
      </c>
      <c r="B127" s="97" t="str">
        <f t="shared" si="19"/>
        <v/>
      </c>
      <c r="C127" s="77"/>
      <c r="D127" s="78"/>
      <c r="E127" s="80"/>
      <c r="F127" s="117"/>
      <c r="G127" s="117"/>
      <c r="H127" s="81"/>
      <c r="I127" s="82"/>
      <c r="J127" s="89">
        <f t="shared" si="16"/>
        <v>0</v>
      </c>
      <c r="K127" s="90" t="str">
        <f t="shared" si="17"/>
        <v/>
      </c>
      <c r="L127" s="97" t="str">
        <f t="shared" si="20"/>
        <v/>
      </c>
      <c r="M127" s="77"/>
      <c r="N127" s="78"/>
      <c r="O127" s="80"/>
      <c r="P127" s="117"/>
      <c r="Q127" s="117"/>
      <c r="R127" s="82"/>
      <c r="S127" s="80"/>
      <c r="T127" s="89">
        <f t="shared" si="12"/>
        <v>0</v>
      </c>
      <c r="U127" s="90" t="str">
        <f t="shared" si="8"/>
        <v/>
      </c>
      <c r="V127" s="96" t="str">
        <f t="shared" si="13"/>
        <v/>
      </c>
      <c r="X127" s="97" t="str">
        <f t="shared" si="14"/>
        <v/>
      </c>
      <c r="Y127" s="97" t="str">
        <f t="shared" si="15"/>
        <v/>
      </c>
    </row>
    <row r="128" spans="1:25" x14ac:dyDescent="0.25">
      <c r="A128" s="97" t="str">
        <f t="shared" si="18"/>
        <v/>
      </c>
      <c r="B128" s="97" t="str">
        <f t="shared" si="19"/>
        <v/>
      </c>
      <c r="C128" s="77"/>
      <c r="D128" s="78"/>
      <c r="E128" s="80"/>
      <c r="F128" s="117"/>
      <c r="G128" s="117"/>
      <c r="H128" s="81"/>
      <c r="I128" s="82"/>
      <c r="J128" s="89">
        <f t="shared" si="16"/>
        <v>0</v>
      </c>
      <c r="K128" s="90" t="str">
        <f t="shared" si="17"/>
        <v/>
      </c>
      <c r="L128" s="97" t="str">
        <f t="shared" si="20"/>
        <v/>
      </c>
      <c r="M128" s="77"/>
      <c r="N128" s="78"/>
      <c r="O128" s="80"/>
      <c r="P128" s="117"/>
      <c r="Q128" s="117"/>
      <c r="R128" s="82"/>
      <c r="S128" s="80"/>
      <c r="T128" s="89">
        <f t="shared" si="12"/>
        <v>0</v>
      </c>
      <c r="U128" s="90" t="str">
        <f t="shared" si="8"/>
        <v/>
      </c>
      <c r="V128" s="96" t="str">
        <f t="shared" si="13"/>
        <v/>
      </c>
      <c r="X128" s="97" t="str">
        <f t="shared" si="14"/>
        <v/>
      </c>
      <c r="Y128" s="97" t="str">
        <f t="shared" si="15"/>
        <v/>
      </c>
    </row>
    <row r="129" spans="1:25" x14ac:dyDescent="0.25">
      <c r="A129" s="97" t="str">
        <f t="shared" si="18"/>
        <v/>
      </c>
      <c r="B129" s="97" t="str">
        <f t="shared" si="19"/>
        <v/>
      </c>
      <c r="C129" s="77"/>
      <c r="D129" s="78"/>
      <c r="E129" s="80"/>
      <c r="F129" s="117"/>
      <c r="G129" s="117"/>
      <c r="H129" s="81"/>
      <c r="I129" s="82"/>
      <c r="J129" s="89">
        <f t="shared" si="16"/>
        <v>0</v>
      </c>
      <c r="K129" s="90" t="str">
        <f t="shared" si="17"/>
        <v/>
      </c>
      <c r="L129" s="97" t="str">
        <f t="shared" si="20"/>
        <v/>
      </c>
      <c r="M129" s="77"/>
      <c r="N129" s="78"/>
      <c r="O129" s="80"/>
      <c r="P129" s="117"/>
      <c r="Q129" s="117"/>
      <c r="R129" s="82"/>
      <c r="S129" s="80"/>
      <c r="T129" s="89">
        <f t="shared" si="12"/>
        <v>0</v>
      </c>
      <c r="U129" s="90" t="str">
        <f t="shared" si="8"/>
        <v/>
      </c>
      <c r="V129" s="96" t="str">
        <f t="shared" si="13"/>
        <v/>
      </c>
      <c r="X129" s="97" t="str">
        <f t="shared" si="14"/>
        <v/>
      </c>
      <c r="Y129" s="97" t="str">
        <f t="shared" si="15"/>
        <v/>
      </c>
    </row>
    <row r="130" spans="1:25" x14ac:dyDescent="0.25">
      <c r="A130" s="97" t="str">
        <f t="shared" si="18"/>
        <v/>
      </c>
      <c r="B130" s="97" t="str">
        <f t="shared" si="19"/>
        <v/>
      </c>
      <c r="C130" s="77"/>
      <c r="D130" s="78"/>
      <c r="E130" s="80"/>
      <c r="F130" s="117"/>
      <c r="G130" s="117"/>
      <c r="H130" s="81"/>
      <c r="I130" s="82"/>
      <c r="J130" s="89">
        <f t="shared" si="16"/>
        <v>0</v>
      </c>
      <c r="K130" s="90" t="str">
        <f t="shared" si="17"/>
        <v/>
      </c>
      <c r="L130" s="97" t="str">
        <f t="shared" si="20"/>
        <v/>
      </c>
      <c r="M130" s="77"/>
      <c r="N130" s="78"/>
      <c r="O130" s="80"/>
      <c r="P130" s="117"/>
      <c r="Q130" s="117"/>
      <c r="R130" s="82"/>
      <c r="S130" s="80"/>
      <c r="T130" s="89">
        <f t="shared" si="12"/>
        <v>0</v>
      </c>
      <c r="U130" s="90" t="str">
        <f t="shared" si="8"/>
        <v/>
      </c>
      <c r="V130" s="96" t="str">
        <f t="shared" si="13"/>
        <v/>
      </c>
      <c r="X130" s="97" t="str">
        <f t="shared" si="14"/>
        <v/>
      </c>
      <c r="Y130" s="97" t="str">
        <f t="shared" si="15"/>
        <v/>
      </c>
    </row>
    <row r="131" spans="1:25" x14ac:dyDescent="0.25">
      <c r="A131" s="97" t="str">
        <f t="shared" si="18"/>
        <v/>
      </c>
      <c r="B131" s="97" t="str">
        <f t="shared" si="19"/>
        <v/>
      </c>
      <c r="C131" s="77"/>
      <c r="D131" s="78"/>
      <c r="E131" s="80"/>
      <c r="F131" s="117"/>
      <c r="G131" s="117"/>
      <c r="H131" s="81"/>
      <c r="I131" s="82"/>
      <c r="J131" s="89">
        <f t="shared" si="16"/>
        <v>0</v>
      </c>
      <c r="K131" s="90" t="str">
        <f t="shared" si="17"/>
        <v/>
      </c>
      <c r="L131" s="97" t="str">
        <f t="shared" si="20"/>
        <v/>
      </c>
      <c r="M131" s="77"/>
      <c r="N131" s="78"/>
      <c r="O131" s="80"/>
      <c r="P131" s="117"/>
      <c r="Q131" s="117"/>
      <c r="R131" s="82"/>
      <c r="S131" s="80"/>
      <c r="T131" s="89">
        <f t="shared" si="12"/>
        <v>0</v>
      </c>
      <c r="U131" s="90" t="str">
        <f t="shared" si="8"/>
        <v/>
      </c>
      <c r="V131" s="96" t="str">
        <f t="shared" si="13"/>
        <v/>
      </c>
      <c r="X131" s="97" t="str">
        <f t="shared" si="14"/>
        <v/>
      </c>
      <c r="Y131" s="97" t="str">
        <f t="shared" si="15"/>
        <v/>
      </c>
    </row>
    <row r="132" spans="1:25" x14ac:dyDescent="0.25">
      <c r="A132" s="97" t="str">
        <f t="shared" si="18"/>
        <v/>
      </c>
      <c r="B132" s="97" t="str">
        <f t="shared" si="19"/>
        <v/>
      </c>
      <c r="C132" s="77"/>
      <c r="D132" s="78"/>
      <c r="E132" s="80"/>
      <c r="F132" s="117"/>
      <c r="G132" s="117"/>
      <c r="H132" s="81"/>
      <c r="I132" s="82"/>
      <c r="J132" s="89">
        <f t="shared" ref="J132:J151" si="21">G132-G131</f>
        <v>0</v>
      </c>
      <c r="K132" s="90" t="str">
        <f t="shared" ref="K132:K151" si="22">IF(OR(I132="WORK", I132="PLAY"),J132, "")</f>
        <v/>
      </c>
      <c r="L132" s="97" t="str">
        <f t="shared" si="20"/>
        <v/>
      </c>
      <c r="M132" s="77"/>
      <c r="N132" s="78"/>
      <c r="O132" s="80"/>
      <c r="P132" s="117"/>
      <c r="Q132" s="117"/>
      <c r="R132" s="82"/>
      <c r="S132" s="80"/>
      <c r="T132" s="89">
        <f t="shared" si="12"/>
        <v>0</v>
      </c>
      <c r="U132" s="90" t="str">
        <f t="shared" si="8"/>
        <v/>
      </c>
      <c r="V132" s="96" t="str">
        <f t="shared" si="13"/>
        <v/>
      </c>
      <c r="X132" s="97" t="str">
        <f t="shared" si="14"/>
        <v/>
      </c>
      <c r="Y132" s="97" t="str">
        <f t="shared" si="15"/>
        <v/>
      </c>
    </row>
    <row r="133" spans="1:25" x14ac:dyDescent="0.25">
      <c r="A133" s="97" t="str">
        <f t="shared" ref="A133:A152" si="23">IF(I133="WORK", J133, "")</f>
        <v/>
      </c>
      <c r="B133" s="97" t="str">
        <f t="shared" ref="B133:B152" si="24">IF(I137="PLAY", J137, "")</f>
        <v/>
      </c>
      <c r="C133" s="77"/>
      <c r="D133" s="78"/>
      <c r="E133" s="80"/>
      <c r="F133" s="117"/>
      <c r="G133" s="117"/>
      <c r="H133" s="81"/>
      <c r="I133" s="82"/>
      <c r="J133" s="89">
        <f t="shared" si="21"/>
        <v>0</v>
      </c>
      <c r="K133" s="90" t="str">
        <f t="shared" si="22"/>
        <v/>
      </c>
      <c r="L133" s="97" t="str">
        <f t="shared" ref="L133:L152" si="25">IF(I133="", IF(H133="","",J133), "")</f>
        <v/>
      </c>
      <c r="M133" s="77"/>
      <c r="N133" s="78"/>
      <c r="O133" s="80"/>
      <c r="P133" s="117"/>
      <c r="Q133" s="117"/>
      <c r="R133" s="82"/>
      <c r="S133" s="80"/>
      <c r="T133" s="89">
        <f t="shared" si="12"/>
        <v>0</v>
      </c>
      <c r="U133" s="90" t="str">
        <f t="shared" si="8"/>
        <v/>
      </c>
      <c r="V133" s="96" t="str">
        <f t="shared" si="13"/>
        <v/>
      </c>
      <c r="X133" s="97" t="str">
        <f t="shared" si="14"/>
        <v/>
      </c>
      <c r="Y133" s="97" t="str">
        <f t="shared" si="15"/>
        <v/>
      </c>
    </row>
    <row r="134" spans="1:25" x14ac:dyDescent="0.25">
      <c r="A134" s="97" t="str">
        <f t="shared" si="23"/>
        <v/>
      </c>
      <c r="B134" s="97" t="str">
        <f t="shared" si="24"/>
        <v/>
      </c>
      <c r="C134" s="77"/>
      <c r="D134" s="78"/>
      <c r="E134" s="80"/>
      <c r="F134" s="117"/>
      <c r="G134" s="117"/>
      <c r="H134" s="81"/>
      <c r="I134" s="82"/>
      <c r="J134" s="89">
        <f t="shared" si="21"/>
        <v>0</v>
      </c>
      <c r="K134" s="90" t="str">
        <f t="shared" si="22"/>
        <v/>
      </c>
      <c r="L134" s="97" t="str">
        <f t="shared" si="25"/>
        <v/>
      </c>
      <c r="M134" s="77"/>
      <c r="N134" s="78"/>
      <c r="O134" s="80"/>
      <c r="P134" s="117"/>
      <c r="Q134" s="117"/>
      <c r="R134" s="82"/>
      <c r="S134" s="80"/>
      <c r="T134" s="89">
        <f t="shared" si="12"/>
        <v>0</v>
      </c>
      <c r="U134" s="90" t="str">
        <f t="shared" si="8"/>
        <v/>
      </c>
      <c r="V134" s="96" t="str">
        <f t="shared" ref="V134:V152" si="26">IF(S134="", IF(R134="","",T134), "")</f>
        <v/>
      </c>
      <c r="X134" s="97" t="str">
        <f t="shared" ref="X134:X152" si="27">IF(S134="PLAY", T134, "")</f>
        <v/>
      </c>
      <c r="Y134" s="97" t="str">
        <f t="shared" ref="Y134:Y152" si="28">IF(S134="WORK", T134, "")</f>
        <v/>
      </c>
    </row>
    <row r="135" spans="1:25" x14ac:dyDescent="0.25">
      <c r="A135" s="97" t="str">
        <f t="shared" si="23"/>
        <v/>
      </c>
      <c r="B135" s="97" t="str">
        <f t="shared" si="24"/>
        <v/>
      </c>
      <c r="C135" s="77"/>
      <c r="D135" s="78"/>
      <c r="E135" s="80"/>
      <c r="F135" s="117"/>
      <c r="G135" s="117"/>
      <c r="H135" s="81"/>
      <c r="I135" s="82"/>
      <c r="J135" s="89">
        <f t="shared" si="21"/>
        <v>0</v>
      </c>
      <c r="K135" s="90" t="str">
        <f t="shared" si="22"/>
        <v/>
      </c>
      <c r="L135" s="97" t="str">
        <f t="shared" si="25"/>
        <v/>
      </c>
      <c r="M135" s="77"/>
      <c r="N135" s="78"/>
      <c r="O135" s="80"/>
      <c r="P135" s="117"/>
      <c r="Q135" s="117"/>
      <c r="R135" s="82"/>
      <c r="S135" s="80"/>
      <c r="T135" s="89">
        <f t="shared" si="12"/>
        <v>0</v>
      </c>
      <c r="U135" s="90" t="str">
        <f t="shared" si="8"/>
        <v/>
      </c>
      <c r="V135" s="96" t="str">
        <f t="shared" si="26"/>
        <v/>
      </c>
      <c r="X135" s="97" t="str">
        <f t="shared" si="27"/>
        <v/>
      </c>
      <c r="Y135" s="97" t="str">
        <f t="shared" si="28"/>
        <v/>
      </c>
    </row>
    <row r="136" spans="1:25" x14ac:dyDescent="0.25">
      <c r="A136" s="97" t="str">
        <f t="shared" si="23"/>
        <v/>
      </c>
      <c r="B136" s="97" t="str">
        <f t="shared" si="24"/>
        <v/>
      </c>
      <c r="C136" s="77"/>
      <c r="D136" s="78"/>
      <c r="E136" s="80"/>
      <c r="F136" s="117"/>
      <c r="G136" s="117"/>
      <c r="H136" s="81"/>
      <c r="I136" s="82"/>
      <c r="J136" s="89">
        <f t="shared" si="21"/>
        <v>0</v>
      </c>
      <c r="K136" s="90" t="str">
        <f t="shared" si="22"/>
        <v/>
      </c>
      <c r="L136" s="97" t="str">
        <f t="shared" si="25"/>
        <v/>
      </c>
      <c r="M136" s="77"/>
      <c r="N136" s="78"/>
      <c r="O136" s="80"/>
      <c r="P136" s="117"/>
      <c r="Q136" s="117"/>
      <c r="R136" s="82"/>
      <c r="S136" s="80"/>
      <c r="T136" s="89">
        <f t="shared" si="12"/>
        <v>0</v>
      </c>
      <c r="U136" s="90" t="str">
        <f t="shared" si="8"/>
        <v/>
      </c>
      <c r="V136" s="96" t="str">
        <f t="shared" si="26"/>
        <v/>
      </c>
      <c r="X136" s="97" t="str">
        <f t="shared" si="27"/>
        <v/>
      </c>
      <c r="Y136" s="97" t="str">
        <f t="shared" si="28"/>
        <v/>
      </c>
    </row>
    <row r="137" spans="1:25" x14ac:dyDescent="0.25">
      <c r="A137" s="97" t="str">
        <f t="shared" si="23"/>
        <v/>
      </c>
      <c r="B137" s="97" t="str">
        <f t="shared" si="24"/>
        <v/>
      </c>
      <c r="C137" s="77"/>
      <c r="D137" s="78"/>
      <c r="E137" s="80"/>
      <c r="F137" s="117"/>
      <c r="G137" s="117"/>
      <c r="H137" s="81"/>
      <c r="I137" s="82"/>
      <c r="J137" s="89">
        <f t="shared" si="21"/>
        <v>0</v>
      </c>
      <c r="K137" s="90" t="str">
        <f t="shared" si="22"/>
        <v/>
      </c>
      <c r="L137" s="97" t="str">
        <f t="shared" si="25"/>
        <v/>
      </c>
      <c r="M137" s="77"/>
      <c r="N137" s="78"/>
      <c r="O137" s="80"/>
      <c r="P137" s="117"/>
      <c r="Q137" s="117"/>
      <c r="R137" s="82"/>
      <c r="S137" s="80"/>
      <c r="T137" s="89">
        <f t="shared" si="12"/>
        <v>0</v>
      </c>
      <c r="U137" s="90" t="str">
        <f t="shared" si="8"/>
        <v/>
      </c>
      <c r="V137" s="96" t="str">
        <f t="shared" si="26"/>
        <v/>
      </c>
      <c r="X137" s="97" t="str">
        <f t="shared" si="27"/>
        <v/>
      </c>
      <c r="Y137" s="97" t="str">
        <f t="shared" si="28"/>
        <v/>
      </c>
    </row>
    <row r="138" spans="1:25" x14ac:dyDescent="0.25">
      <c r="A138" s="97" t="str">
        <f t="shared" si="23"/>
        <v/>
      </c>
      <c r="B138" s="97" t="str">
        <f t="shared" si="24"/>
        <v/>
      </c>
      <c r="C138" s="77"/>
      <c r="D138" s="78"/>
      <c r="E138" s="80"/>
      <c r="F138" s="117"/>
      <c r="G138" s="117"/>
      <c r="H138" s="81"/>
      <c r="I138" s="82"/>
      <c r="J138" s="89">
        <f t="shared" si="21"/>
        <v>0</v>
      </c>
      <c r="K138" s="90" t="str">
        <f t="shared" si="22"/>
        <v/>
      </c>
      <c r="L138" s="97" t="str">
        <f t="shared" si="25"/>
        <v/>
      </c>
      <c r="M138" s="77"/>
      <c r="N138" s="78"/>
      <c r="O138" s="80"/>
      <c r="P138" s="117"/>
      <c r="Q138" s="117"/>
      <c r="R138" s="82"/>
      <c r="S138" s="80"/>
      <c r="T138" s="89">
        <f t="shared" si="12"/>
        <v>0</v>
      </c>
      <c r="U138" s="90" t="str">
        <f t="shared" si="8"/>
        <v/>
      </c>
      <c r="V138" s="96" t="str">
        <f t="shared" si="26"/>
        <v/>
      </c>
      <c r="X138" s="97" t="str">
        <f t="shared" si="27"/>
        <v/>
      </c>
      <c r="Y138" s="97" t="str">
        <f t="shared" si="28"/>
        <v/>
      </c>
    </row>
    <row r="139" spans="1:25" x14ac:dyDescent="0.25">
      <c r="A139" s="97" t="str">
        <f t="shared" si="23"/>
        <v/>
      </c>
      <c r="B139" s="97" t="str">
        <f t="shared" si="24"/>
        <v/>
      </c>
      <c r="C139" s="77"/>
      <c r="D139" s="78"/>
      <c r="E139" s="80"/>
      <c r="F139" s="117"/>
      <c r="G139" s="117"/>
      <c r="H139" s="81"/>
      <c r="I139" s="82"/>
      <c r="J139" s="89">
        <f t="shared" si="21"/>
        <v>0</v>
      </c>
      <c r="K139" s="90" t="str">
        <f t="shared" si="22"/>
        <v/>
      </c>
      <c r="L139" s="97" t="str">
        <f t="shared" si="25"/>
        <v/>
      </c>
      <c r="M139" s="77"/>
      <c r="N139" s="78"/>
      <c r="O139" s="80"/>
      <c r="P139" s="117"/>
      <c r="Q139" s="117"/>
      <c r="R139" s="82"/>
      <c r="S139" s="80"/>
      <c r="T139" s="89">
        <f t="shared" si="12"/>
        <v>0</v>
      </c>
      <c r="U139" s="90" t="str">
        <f t="shared" si="8"/>
        <v/>
      </c>
      <c r="V139" s="96" t="str">
        <f t="shared" si="26"/>
        <v/>
      </c>
      <c r="X139" s="97" t="str">
        <f t="shared" si="27"/>
        <v/>
      </c>
      <c r="Y139" s="97" t="str">
        <f t="shared" si="28"/>
        <v/>
      </c>
    </row>
    <row r="140" spans="1:25" x14ac:dyDescent="0.25">
      <c r="A140" s="97" t="str">
        <f t="shared" si="23"/>
        <v/>
      </c>
      <c r="B140" s="97" t="str">
        <f t="shared" si="24"/>
        <v/>
      </c>
      <c r="C140" s="77"/>
      <c r="D140" s="78"/>
      <c r="E140" s="80"/>
      <c r="F140" s="117"/>
      <c r="G140" s="117"/>
      <c r="H140" s="81"/>
      <c r="I140" s="82"/>
      <c r="J140" s="89">
        <f t="shared" si="21"/>
        <v>0</v>
      </c>
      <c r="K140" s="90" t="str">
        <f t="shared" si="22"/>
        <v/>
      </c>
      <c r="L140" s="97" t="str">
        <f t="shared" si="25"/>
        <v/>
      </c>
      <c r="M140" s="77"/>
      <c r="N140" s="78"/>
      <c r="O140" s="80"/>
      <c r="P140" s="117"/>
      <c r="Q140" s="117"/>
      <c r="R140" s="82"/>
      <c r="S140" s="80"/>
      <c r="T140" s="89">
        <f t="shared" si="12"/>
        <v>0</v>
      </c>
      <c r="U140" s="90" t="str">
        <f t="shared" si="8"/>
        <v/>
      </c>
      <c r="V140" s="96" t="str">
        <f t="shared" si="26"/>
        <v/>
      </c>
      <c r="X140" s="97" t="str">
        <f t="shared" si="27"/>
        <v/>
      </c>
      <c r="Y140" s="97" t="str">
        <f t="shared" si="28"/>
        <v/>
      </c>
    </row>
    <row r="141" spans="1:25" x14ac:dyDescent="0.25">
      <c r="A141" s="97" t="str">
        <f t="shared" si="23"/>
        <v/>
      </c>
      <c r="B141" s="97" t="str">
        <f t="shared" si="24"/>
        <v/>
      </c>
      <c r="C141" s="77"/>
      <c r="D141" s="80"/>
      <c r="E141" s="80"/>
      <c r="F141" s="117"/>
      <c r="G141" s="117"/>
      <c r="H141" s="81"/>
      <c r="I141" s="82"/>
      <c r="J141" s="89">
        <f t="shared" si="21"/>
        <v>0</v>
      </c>
      <c r="K141" s="90" t="str">
        <f t="shared" si="22"/>
        <v/>
      </c>
      <c r="L141" s="97" t="str">
        <f t="shared" si="25"/>
        <v/>
      </c>
      <c r="M141" s="77"/>
      <c r="N141" s="78"/>
      <c r="O141" s="80"/>
      <c r="P141" s="117"/>
      <c r="Q141" s="117"/>
      <c r="R141" s="82"/>
      <c r="S141" s="80"/>
      <c r="T141" s="89">
        <f t="shared" si="12"/>
        <v>0</v>
      </c>
      <c r="U141" s="90" t="str">
        <f t="shared" si="8"/>
        <v/>
      </c>
      <c r="V141" s="96" t="str">
        <f t="shared" si="26"/>
        <v/>
      </c>
      <c r="X141" s="97" t="str">
        <f t="shared" si="27"/>
        <v/>
      </c>
      <c r="Y141" s="97" t="str">
        <f t="shared" si="28"/>
        <v/>
      </c>
    </row>
    <row r="142" spans="1:25" x14ac:dyDescent="0.25">
      <c r="A142" s="97" t="str">
        <f t="shared" si="23"/>
        <v/>
      </c>
      <c r="B142" s="97" t="str">
        <f t="shared" si="24"/>
        <v/>
      </c>
      <c r="C142" s="77"/>
      <c r="D142" s="80"/>
      <c r="E142" s="80"/>
      <c r="F142" s="117"/>
      <c r="G142" s="117"/>
      <c r="H142" s="82"/>
      <c r="I142" s="82"/>
      <c r="J142" s="89">
        <f t="shared" si="21"/>
        <v>0</v>
      </c>
      <c r="K142" s="90" t="str">
        <f t="shared" si="22"/>
        <v/>
      </c>
      <c r="L142" s="97" t="str">
        <f t="shared" si="25"/>
        <v/>
      </c>
      <c r="M142" s="77"/>
      <c r="N142" s="78"/>
      <c r="O142" s="80"/>
      <c r="P142" s="117"/>
      <c r="Q142" s="117"/>
      <c r="R142" s="82"/>
      <c r="S142" s="80"/>
      <c r="T142" s="89">
        <f t="shared" si="12"/>
        <v>0</v>
      </c>
      <c r="U142" s="90" t="str">
        <f t="shared" si="8"/>
        <v/>
      </c>
      <c r="V142" s="96" t="str">
        <f t="shared" si="26"/>
        <v/>
      </c>
      <c r="X142" s="97" t="str">
        <f t="shared" si="27"/>
        <v/>
      </c>
      <c r="Y142" s="97" t="str">
        <f t="shared" si="28"/>
        <v/>
      </c>
    </row>
    <row r="143" spans="1:25" x14ac:dyDescent="0.25">
      <c r="A143" s="97" t="str">
        <f t="shared" si="23"/>
        <v/>
      </c>
      <c r="B143" s="97" t="str">
        <f t="shared" si="24"/>
        <v/>
      </c>
      <c r="C143" s="77"/>
      <c r="D143" s="80"/>
      <c r="E143" s="80"/>
      <c r="F143" s="117"/>
      <c r="G143" s="117"/>
      <c r="H143" s="82"/>
      <c r="I143" s="82"/>
      <c r="J143" s="89">
        <f t="shared" si="21"/>
        <v>0</v>
      </c>
      <c r="K143" s="90" t="str">
        <f t="shared" si="22"/>
        <v/>
      </c>
      <c r="L143" s="97" t="str">
        <f t="shared" si="25"/>
        <v/>
      </c>
      <c r="M143" s="77"/>
      <c r="N143" s="78"/>
      <c r="O143" s="80"/>
      <c r="P143" s="117"/>
      <c r="Q143" s="117"/>
      <c r="R143" s="82"/>
      <c r="S143" s="80"/>
      <c r="T143" s="89">
        <f t="shared" si="12"/>
        <v>0</v>
      </c>
      <c r="U143" s="90" t="str">
        <f t="shared" si="8"/>
        <v/>
      </c>
      <c r="V143" s="96" t="str">
        <f t="shared" si="26"/>
        <v/>
      </c>
      <c r="X143" s="97" t="str">
        <f t="shared" si="27"/>
        <v/>
      </c>
      <c r="Y143" s="97" t="str">
        <f t="shared" si="28"/>
        <v/>
      </c>
    </row>
    <row r="144" spans="1:25" x14ac:dyDescent="0.25">
      <c r="A144" s="97" t="str">
        <f t="shared" si="23"/>
        <v/>
      </c>
      <c r="B144" s="97" t="str">
        <f t="shared" si="24"/>
        <v/>
      </c>
      <c r="C144" s="77"/>
      <c r="D144" s="80"/>
      <c r="E144" s="80"/>
      <c r="F144" s="117"/>
      <c r="G144" s="117"/>
      <c r="H144" s="82"/>
      <c r="I144" s="82"/>
      <c r="J144" s="89">
        <f t="shared" si="21"/>
        <v>0</v>
      </c>
      <c r="K144" s="90" t="str">
        <f t="shared" si="22"/>
        <v/>
      </c>
      <c r="L144" s="97" t="str">
        <f t="shared" si="25"/>
        <v/>
      </c>
      <c r="M144" s="77"/>
      <c r="N144" s="78"/>
      <c r="O144" s="80"/>
      <c r="P144" s="117"/>
      <c r="Q144" s="117"/>
      <c r="R144" s="82"/>
      <c r="S144" s="80"/>
      <c r="T144" s="89">
        <f t="shared" si="12"/>
        <v>0</v>
      </c>
      <c r="U144" s="90" t="str">
        <f t="shared" si="8"/>
        <v/>
      </c>
      <c r="V144" s="96" t="str">
        <f t="shared" si="26"/>
        <v/>
      </c>
      <c r="X144" s="97" t="str">
        <f t="shared" si="27"/>
        <v/>
      </c>
      <c r="Y144" s="97" t="str">
        <f t="shared" si="28"/>
        <v/>
      </c>
    </row>
    <row r="145" spans="1:25" x14ac:dyDescent="0.25">
      <c r="A145" s="97" t="str">
        <f t="shared" si="23"/>
        <v/>
      </c>
      <c r="B145" s="97" t="str">
        <f t="shared" si="24"/>
        <v/>
      </c>
      <c r="C145" s="77"/>
      <c r="D145" s="80"/>
      <c r="E145" s="80"/>
      <c r="F145" s="117"/>
      <c r="G145" s="117"/>
      <c r="H145" s="82"/>
      <c r="I145" s="82"/>
      <c r="J145" s="89">
        <f t="shared" si="21"/>
        <v>0</v>
      </c>
      <c r="K145" s="90" t="str">
        <f t="shared" si="22"/>
        <v/>
      </c>
      <c r="L145" s="97" t="str">
        <f t="shared" si="25"/>
        <v/>
      </c>
      <c r="M145" s="77"/>
      <c r="N145" s="78"/>
      <c r="O145" s="80"/>
      <c r="P145" s="117"/>
      <c r="Q145" s="117"/>
      <c r="R145" s="82"/>
      <c r="S145" s="80"/>
      <c r="T145" s="89">
        <f t="shared" si="12"/>
        <v>0</v>
      </c>
      <c r="U145" s="90" t="str">
        <f t="shared" si="8"/>
        <v/>
      </c>
      <c r="V145" s="96" t="str">
        <f t="shared" si="26"/>
        <v/>
      </c>
      <c r="X145" s="97" t="str">
        <f t="shared" si="27"/>
        <v/>
      </c>
      <c r="Y145" s="97" t="str">
        <f t="shared" si="28"/>
        <v/>
      </c>
    </row>
    <row r="146" spans="1:25" x14ac:dyDescent="0.25">
      <c r="A146" s="97" t="str">
        <f t="shared" si="23"/>
        <v/>
      </c>
      <c r="B146" s="97" t="str">
        <f t="shared" si="24"/>
        <v/>
      </c>
      <c r="C146" s="77"/>
      <c r="D146" s="80"/>
      <c r="E146" s="80"/>
      <c r="F146" s="117"/>
      <c r="G146" s="117"/>
      <c r="H146" s="82"/>
      <c r="I146" s="82"/>
      <c r="J146" s="89">
        <f t="shared" si="21"/>
        <v>0</v>
      </c>
      <c r="K146" s="90" t="str">
        <f t="shared" si="22"/>
        <v/>
      </c>
      <c r="L146" s="97" t="str">
        <f t="shared" si="25"/>
        <v/>
      </c>
      <c r="M146" s="77"/>
      <c r="N146" s="78"/>
      <c r="O146" s="80"/>
      <c r="P146" s="117"/>
      <c r="Q146" s="117"/>
      <c r="R146" s="82"/>
      <c r="S146" s="80"/>
      <c r="T146" s="89">
        <f t="shared" si="12"/>
        <v>0</v>
      </c>
      <c r="U146" s="90" t="str">
        <f t="shared" si="8"/>
        <v/>
      </c>
      <c r="V146" s="96" t="str">
        <f t="shared" si="26"/>
        <v/>
      </c>
      <c r="X146" s="97" t="str">
        <f t="shared" si="27"/>
        <v/>
      </c>
      <c r="Y146" s="97" t="str">
        <f t="shared" si="28"/>
        <v/>
      </c>
    </row>
    <row r="147" spans="1:25" x14ac:dyDescent="0.25">
      <c r="A147" s="97" t="str">
        <f t="shared" si="23"/>
        <v/>
      </c>
      <c r="B147" s="97" t="str">
        <f t="shared" si="24"/>
        <v/>
      </c>
      <c r="C147" s="77"/>
      <c r="D147" s="80"/>
      <c r="E147" s="80"/>
      <c r="F147" s="117"/>
      <c r="G147" s="117"/>
      <c r="H147" s="82"/>
      <c r="I147" s="82"/>
      <c r="J147" s="89">
        <f t="shared" si="21"/>
        <v>0</v>
      </c>
      <c r="K147" s="90" t="str">
        <f t="shared" si="22"/>
        <v/>
      </c>
      <c r="L147" s="97" t="str">
        <f t="shared" si="25"/>
        <v/>
      </c>
      <c r="M147" s="77"/>
      <c r="N147" s="78"/>
      <c r="O147" s="80"/>
      <c r="P147" s="117"/>
      <c r="Q147" s="117"/>
      <c r="R147" s="82"/>
      <c r="S147" s="80"/>
      <c r="T147" s="89">
        <f t="shared" si="12"/>
        <v>0</v>
      </c>
      <c r="U147" s="90" t="str">
        <f t="shared" si="8"/>
        <v/>
      </c>
      <c r="V147" s="96" t="str">
        <f t="shared" si="26"/>
        <v/>
      </c>
      <c r="X147" s="97" t="str">
        <f t="shared" si="27"/>
        <v/>
      </c>
      <c r="Y147" s="97" t="str">
        <f t="shared" si="28"/>
        <v/>
      </c>
    </row>
    <row r="148" spans="1:25" x14ac:dyDescent="0.25">
      <c r="A148" s="97" t="str">
        <f t="shared" si="23"/>
        <v/>
      </c>
      <c r="B148" s="97" t="str">
        <f t="shared" si="24"/>
        <v/>
      </c>
      <c r="C148" s="77"/>
      <c r="D148" s="80"/>
      <c r="E148" s="80"/>
      <c r="F148" s="117"/>
      <c r="G148" s="117"/>
      <c r="H148" s="82"/>
      <c r="I148" s="82"/>
      <c r="J148" s="89">
        <f t="shared" si="21"/>
        <v>0</v>
      </c>
      <c r="K148" s="90" t="str">
        <f t="shared" si="22"/>
        <v/>
      </c>
      <c r="L148" s="97" t="str">
        <f t="shared" si="25"/>
        <v/>
      </c>
      <c r="M148" s="77"/>
      <c r="N148" s="78"/>
      <c r="O148" s="80"/>
      <c r="P148" s="117"/>
      <c r="Q148" s="117"/>
      <c r="R148" s="82"/>
      <c r="S148" s="80"/>
      <c r="T148" s="89">
        <f t="shared" si="12"/>
        <v>0</v>
      </c>
      <c r="U148" s="90" t="str">
        <f t="shared" si="8"/>
        <v/>
      </c>
      <c r="V148" s="96" t="str">
        <f t="shared" si="26"/>
        <v/>
      </c>
      <c r="X148" s="97" t="str">
        <f t="shared" si="27"/>
        <v/>
      </c>
      <c r="Y148" s="97" t="str">
        <f t="shared" si="28"/>
        <v/>
      </c>
    </row>
    <row r="149" spans="1:25" x14ac:dyDescent="0.25">
      <c r="A149" s="97" t="str">
        <f t="shared" si="23"/>
        <v/>
      </c>
      <c r="B149" s="97" t="str">
        <f t="shared" si="24"/>
        <v/>
      </c>
      <c r="C149" s="77"/>
      <c r="D149" s="80"/>
      <c r="E149" s="80"/>
      <c r="F149" s="117"/>
      <c r="G149" s="117"/>
      <c r="H149" s="82"/>
      <c r="I149" s="82"/>
      <c r="J149" s="89">
        <f t="shared" si="21"/>
        <v>0</v>
      </c>
      <c r="K149" s="90" t="str">
        <f t="shared" si="22"/>
        <v/>
      </c>
      <c r="L149" s="97" t="str">
        <f t="shared" si="25"/>
        <v/>
      </c>
      <c r="M149" s="77"/>
      <c r="N149" s="78"/>
      <c r="O149" s="80"/>
      <c r="P149" s="117"/>
      <c r="Q149" s="117"/>
      <c r="R149" s="82"/>
      <c r="S149" s="80"/>
      <c r="T149" s="89">
        <f t="shared" si="12"/>
        <v>0</v>
      </c>
      <c r="U149" s="90" t="str">
        <f t="shared" si="8"/>
        <v/>
      </c>
      <c r="V149" s="96" t="str">
        <f t="shared" si="26"/>
        <v/>
      </c>
      <c r="X149" s="97" t="str">
        <f t="shared" si="27"/>
        <v/>
      </c>
      <c r="Y149" s="97" t="str">
        <f t="shared" si="28"/>
        <v/>
      </c>
    </row>
    <row r="150" spans="1:25" x14ac:dyDescent="0.25">
      <c r="A150" s="97" t="str">
        <f t="shared" si="23"/>
        <v/>
      </c>
      <c r="B150" s="97" t="str">
        <f t="shared" si="24"/>
        <v/>
      </c>
      <c r="C150" s="77"/>
      <c r="D150" s="80"/>
      <c r="E150" s="80"/>
      <c r="F150" s="117"/>
      <c r="G150" s="117"/>
      <c r="H150" s="82"/>
      <c r="I150" s="82"/>
      <c r="J150" s="89">
        <f t="shared" si="21"/>
        <v>0</v>
      </c>
      <c r="K150" s="90" t="str">
        <f t="shared" si="22"/>
        <v/>
      </c>
      <c r="L150" s="97" t="str">
        <f t="shared" si="25"/>
        <v/>
      </c>
      <c r="M150" s="77"/>
      <c r="N150" s="78"/>
      <c r="O150" s="80"/>
      <c r="P150" s="117"/>
      <c r="Q150" s="117"/>
      <c r="R150" s="82"/>
      <c r="S150" s="80"/>
      <c r="T150" s="89">
        <f t="shared" si="12"/>
        <v>0</v>
      </c>
      <c r="U150" s="90"/>
      <c r="V150" s="96" t="str">
        <f t="shared" si="26"/>
        <v/>
      </c>
      <c r="X150" s="97" t="str">
        <f t="shared" si="27"/>
        <v/>
      </c>
      <c r="Y150" s="97" t="str">
        <f t="shared" si="28"/>
        <v/>
      </c>
    </row>
    <row r="151" spans="1:25" x14ac:dyDescent="0.25">
      <c r="A151" s="97" t="str">
        <f t="shared" si="23"/>
        <v/>
      </c>
      <c r="B151" s="97" t="str">
        <f t="shared" si="24"/>
        <v/>
      </c>
      <c r="C151" s="77"/>
      <c r="D151" s="80"/>
      <c r="E151" s="80"/>
      <c r="F151" s="117"/>
      <c r="G151" s="117"/>
      <c r="H151" s="82"/>
      <c r="I151" s="82"/>
      <c r="J151" s="89">
        <f t="shared" si="21"/>
        <v>0</v>
      </c>
      <c r="K151" s="90" t="str">
        <f t="shared" si="22"/>
        <v/>
      </c>
      <c r="L151" s="97" t="str">
        <f t="shared" si="25"/>
        <v/>
      </c>
      <c r="M151" s="77"/>
      <c r="N151" s="80"/>
      <c r="O151" s="80"/>
      <c r="P151" s="117"/>
      <c r="Q151" s="117"/>
      <c r="R151" s="82"/>
      <c r="S151" s="80"/>
      <c r="T151" s="89"/>
      <c r="U151" s="90"/>
      <c r="V151" s="96" t="str">
        <f t="shared" si="26"/>
        <v/>
      </c>
      <c r="X151" s="97" t="str">
        <f t="shared" si="27"/>
        <v/>
      </c>
      <c r="Y151" s="97" t="str">
        <f t="shared" si="28"/>
        <v/>
      </c>
    </row>
    <row r="152" spans="1:25" ht="15.75" thickBot="1" x14ac:dyDescent="0.3">
      <c r="A152" s="97" t="str">
        <f t="shared" si="23"/>
        <v/>
      </c>
      <c r="B152" s="97" t="str">
        <f t="shared" si="24"/>
        <v/>
      </c>
      <c r="C152" s="84"/>
      <c r="D152" s="85"/>
      <c r="E152" s="85"/>
      <c r="F152" s="86"/>
      <c r="G152" s="86"/>
      <c r="H152" s="86"/>
      <c r="I152" s="86"/>
      <c r="J152" s="91"/>
      <c r="K152" s="92"/>
      <c r="L152" s="97" t="str">
        <f t="shared" si="25"/>
        <v/>
      </c>
      <c r="M152" s="84"/>
      <c r="N152" s="85"/>
      <c r="O152" s="85"/>
      <c r="P152" s="86"/>
      <c r="Q152" s="86"/>
      <c r="R152" s="86"/>
      <c r="S152" s="85"/>
      <c r="T152" s="91"/>
      <c r="U152" s="92"/>
      <c r="V152" s="96" t="str">
        <f t="shared" si="26"/>
        <v/>
      </c>
      <c r="X152" s="97" t="str">
        <f t="shared" si="27"/>
        <v/>
      </c>
      <c r="Y152" s="97" t="str">
        <f t="shared" si="28"/>
        <v/>
      </c>
    </row>
    <row r="153" spans="1:25" x14ac:dyDescent="0.25">
      <c r="V153" s="96"/>
      <c r="Y153" s="97"/>
    </row>
    <row r="154" spans="1:25" x14ac:dyDescent="0.25">
      <c r="V154" s="96"/>
      <c r="Y154" s="97"/>
    </row>
    <row r="155" spans="1:25" x14ac:dyDescent="0.25">
      <c r="V155" s="96"/>
    </row>
    <row r="156" spans="1:25" x14ac:dyDescent="0.25">
      <c r="V156" s="96"/>
    </row>
    <row r="157" spans="1:25" x14ac:dyDescent="0.25">
      <c r="V157" s="96"/>
    </row>
    <row r="158" spans="1:25" x14ac:dyDescent="0.25">
      <c r="V158" s="96"/>
    </row>
    <row r="164" spans="1:8" x14ac:dyDescent="0.25">
      <c r="H164" s="10"/>
    </row>
    <row r="165" spans="1:8" ht="15.75" thickBot="1" x14ac:dyDescent="0.3"/>
    <row r="166" spans="1:8" x14ac:dyDescent="0.25">
      <c r="A166" s="21" t="s">
        <v>33</v>
      </c>
      <c r="B166" s="22"/>
    </row>
    <row r="167" spans="1:8" x14ac:dyDescent="0.25">
      <c r="A167" s="23" t="s">
        <v>47</v>
      </c>
      <c r="B167" s="51">
        <f>NETWORKDAYS(MIN($H$5:$H$42),MAX($H$5:$H$42))</f>
        <v>23</v>
      </c>
    </row>
    <row r="168" spans="1:8" x14ac:dyDescent="0.25">
      <c r="A168" s="23" t="s">
        <v>22</v>
      </c>
      <c r="B168" s="24">
        <v>0.33333333333333331</v>
      </c>
    </row>
    <row r="169" spans="1:8" x14ac:dyDescent="0.25">
      <c r="A169" s="23" t="s">
        <v>23</v>
      </c>
      <c r="B169" s="25">
        <f>B167*B168</f>
        <v>7.6666666666666661</v>
      </c>
    </row>
    <row r="170" spans="1:8" x14ac:dyDescent="0.25">
      <c r="A170" s="23"/>
      <c r="B170" s="12"/>
    </row>
    <row r="171" spans="1:8" ht="15.75" thickBot="1" x14ac:dyDescent="0.3">
      <c r="A171" s="26"/>
      <c r="B171" s="13"/>
    </row>
    <row r="174" spans="1:8" ht="15.75" thickBot="1" x14ac:dyDescent="0.3"/>
    <row r="175" spans="1:8" x14ac:dyDescent="0.25">
      <c r="A175" s="21" t="s">
        <v>34</v>
      </c>
      <c r="B175" s="22"/>
    </row>
    <row r="176" spans="1:8" ht="33.75" x14ac:dyDescent="0.5">
      <c r="A176" s="23" t="s">
        <v>4</v>
      </c>
      <c r="B176" s="165">
        <v>23623</v>
      </c>
    </row>
    <row r="177" spans="1:10" x14ac:dyDescent="0.25">
      <c r="A177" s="23" t="s">
        <v>5</v>
      </c>
      <c r="B177" s="27" t="s">
        <v>65</v>
      </c>
    </row>
    <row r="178" spans="1:10" x14ac:dyDescent="0.25">
      <c r="A178" s="23" t="s">
        <v>40</v>
      </c>
      <c r="B178" s="27" t="s">
        <v>66</v>
      </c>
      <c r="J178" s="27"/>
    </row>
    <row r="179" spans="1:10" x14ac:dyDescent="0.25">
      <c r="A179" s="23"/>
      <c r="B179" s="12"/>
    </row>
    <row r="180" spans="1:10" x14ac:dyDescent="0.25">
      <c r="A180" s="23" t="s">
        <v>36</v>
      </c>
      <c r="B180" s="12" t="s">
        <v>0</v>
      </c>
    </row>
    <row r="181" spans="1:10" x14ac:dyDescent="0.25">
      <c r="A181" s="23" t="s">
        <v>37</v>
      </c>
      <c r="B181" s="12" t="s">
        <v>6</v>
      </c>
    </row>
    <row r="182" spans="1:10" x14ac:dyDescent="0.25">
      <c r="A182" s="23" t="s">
        <v>7</v>
      </c>
      <c r="B182" s="12" t="s">
        <v>43</v>
      </c>
    </row>
    <row r="183" spans="1:10" x14ac:dyDescent="0.25">
      <c r="A183" s="23"/>
      <c r="B183" s="12"/>
    </row>
    <row r="184" spans="1:10" x14ac:dyDescent="0.25">
      <c r="A184" s="29" t="s">
        <v>8</v>
      </c>
      <c r="B184" s="30">
        <v>37</v>
      </c>
    </row>
    <row r="185" spans="1:10" x14ac:dyDescent="0.25">
      <c r="A185" s="29" t="s">
        <v>9</v>
      </c>
      <c r="B185" s="30">
        <v>10</v>
      </c>
    </row>
    <row r="186" spans="1:10" x14ac:dyDescent="0.25">
      <c r="A186" s="29" t="s">
        <v>10</v>
      </c>
      <c r="B186" s="30">
        <v>20</v>
      </c>
    </row>
    <row r="187" spans="1:10" x14ac:dyDescent="0.25">
      <c r="A187" s="23"/>
      <c r="B187" s="12"/>
    </row>
    <row r="188" spans="1:10" x14ac:dyDescent="0.25">
      <c r="A188" s="23" t="s">
        <v>1</v>
      </c>
      <c r="B188" s="12">
        <v>35</v>
      </c>
    </row>
    <row r="189" spans="1:10" x14ac:dyDescent="0.25">
      <c r="A189" s="23" t="s">
        <v>2</v>
      </c>
      <c r="B189" s="12">
        <v>37</v>
      </c>
    </row>
    <row r="190" spans="1:10" x14ac:dyDescent="0.25">
      <c r="A190" s="23" t="s">
        <v>3</v>
      </c>
      <c r="B190" s="12">
        <v>1</v>
      </c>
    </row>
    <row r="191" spans="1:10" x14ac:dyDescent="0.25">
      <c r="A191" s="23"/>
      <c r="B191" s="12"/>
    </row>
    <row r="192" spans="1:10" x14ac:dyDescent="0.25">
      <c r="A192" s="23"/>
      <c r="B192" s="12"/>
    </row>
    <row r="193" spans="1:2" ht="15.75" thickBot="1" x14ac:dyDescent="0.3">
      <c r="A193" s="28" t="s">
        <v>35</v>
      </c>
      <c r="B193" s="13"/>
    </row>
  </sheetData>
  <dataConsolidate/>
  <mergeCells count="1">
    <mergeCell ref="N2:O2"/>
  </mergeCells>
  <conditionalFormatting sqref="F5:F42 N5:O42">
    <cfRule type="expression" dxfId="7" priority="1">
      <formula>ISNUMBER(SEARCH("Week",$F5))=TRUE</formula>
    </cfRule>
  </conditionalFormatting>
  <conditionalFormatting sqref="R25:R28 P1:P2 S16:S17 I5:I42">
    <cfRule type="cellIs" dxfId="6" priority="20" operator="between">
      <formula>0</formula>
      <formula>0</formula>
    </cfRule>
  </conditionalFormatting>
  <conditionalFormatting sqref="K12">
    <cfRule type="cellIs" dxfId="5" priority="10" operator="between">
      <formula>0</formula>
      <formula>0</formula>
    </cfRule>
  </conditionalFormatting>
  <conditionalFormatting sqref="S33:S34">
    <cfRule type="cellIs" dxfId="4" priority="8" operator="between">
      <formula>0</formula>
      <formula>0</formula>
    </cfRule>
  </conditionalFormatting>
  <conditionalFormatting sqref="S9:S10">
    <cfRule type="cellIs" dxfId="3" priority="7" operator="between">
      <formula>0</formula>
      <formula>0</formula>
    </cfRule>
  </conditionalFormatting>
  <conditionalFormatting sqref="R5:R8">
    <cfRule type="cellIs" dxfId="2" priority="4" operator="between">
      <formula>0</formula>
      <formula>0</formula>
    </cfRule>
  </conditionalFormatting>
  <conditionalFormatting sqref="R18:R22">
    <cfRule type="cellIs" dxfId="1" priority="2" operator="between">
      <formula>0</formula>
      <formula>0</formula>
    </cfRule>
  </conditionalFormatting>
  <conditionalFormatting sqref="F5:F42 P5:Q42">
    <cfRule type="expression" dxfId="0" priority="21">
      <formula>ISNUMBER(SEARCH("Week",$F5))=TRUE</formula>
    </cfRule>
  </conditionalFormatting>
  <hyperlinks>
    <hyperlink ref="B177" r:id="rId1"/>
  </hyperlinks>
  <pageMargins left="0.7" right="0.7" top="0.75" bottom="0.75" header="0.3" footer="0.3"/>
  <pageSetup paperSize="8" scale="33" orientation="portrait" r:id="rId2"/>
  <ignoredErrors>
    <ignoredError sqref="O5:O42" formulaRange="1"/>
    <ignoredError sqref="N43:O44" formula="1" formulaRange="1"/>
    <ignoredError sqref="N45:O46" formula="1"/>
  </ignoredError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3"/>
  <sheetViews>
    <sheetView workbookViewId="0">
      <selection sqref="A1:M35"/>
    </sheetView>
  </sheetViews>
  <sheetFormatPr defaultRowHeight="15" x14ac:dyDescent="0.25"/>
  <sheetData>
    <row r="1" spans="1:12" ht="15.75" x14ac:dyDescent="0.25">
      <c r="A1" s="166">
        <v>7369</v>
      </c>
      <c r="B1" s="166" t="s">
        <v>110</v>
      </c>
      <c r="C1" s="166">
        <v>800</v>
      </c>
      <c r="D1" s="166" t="s">
        <v>83</v>
      </c>
    </row>
    <row r="2" spans="1:12" ht="31.5" x14ac:dyDescent="0.25">
      <c r="A2" s="166">
        <v>7499</v>
      </c>
      <c r="B2" s="166" t="s">
        <v>109</v>
      </c>
      <c r="C2" s="166">
        <v>1600</v>
      </c>
      <c r="D2" s="166" t="s">
        <v>98</v>
      </c>
      <c r="G2" s="166">
        <v>10</v>
      </c>
      <c r="H2" s="166" t="s">
        <v>98</v>
      </c>
      <c r="I2" s="166" t="s">
        <v>108</v>
      </c>
      <c r="L2" t="str">
        <f>CONCATENATE(G12,G9,H13,A1,I12,H9,H13,H12,B1,H12,I12,I9,H13,C1,I12,J9,H13,H12,D1,H12,J12)</f>
        <v>{Id:7369,Name:"SMITH",Salary:800,Department:"Research"}</v>
      </c>
    </row>
    <row r="3" spans="1:12" ht="31.5" x14ac:dyDescent="0.25">
      <c r="A3" s="166">
        <v>7521</v>
      </c>
      <c r="B3" s="166" t="s">
        <v>107</v>
      </c>
      <c r="C3" s="166">
        <v>1250</v>
      </c>
      <c r="D3" s="166" t="s">
        <v>89</v>
      </c>
      <c r="G3" s="166">
        <v>20</v>
      </c>
      <c r="H3" s="166" t="s">
        <v>83</v>
      </c>
      <c r="I3" s="166" t="s">
        <v>106</v>
      </c>
      <c r="L3" t="str">
        <f>CONCATENATE(G12,G9,H13,A2,I12,H9,H13,H12,B2,H12,I12,I9,H13,C2,I12,J9,H13,H12,D2,H12,J12)</f>
        <v>{Id:7499,Name:"ALLEN",Salary:1600,Department:"Accounting"}</v>
      </c>
    </row>
    <row r="4" spans="1:12" ht="15.75" x14ac:dyDescent="0.25">
      <c r="A4" s="166">
        <v>7566</v>
      </c>
      <c r="B4" s="166" t="s">
        <v>105</v>
      </c>
      <c r="C4" s="166">
        <v>2975</v>
      </c>
      <c r="D4" s="166" t="s">
        <v>83</v>
      </c>
      <c r="G4" s="166">
        <v>30</v>
      </c>
      <c r="H4" s="166" t="s">
        <v>80</v>
      </c>
      <c r="I4" s="166" t="s">
        <v>104</v>
      </c>
      <c r="L4" t="str">
        <f>CONCATENATE(G12,G9,H13,A3,I12,H9,H13,H12,B3,H12,I12,I9,H13,C3,I12,J9,H13,H12,D3,H12,J12)</f>
        <v>{Id:7521,Name:"WARD",Salary:1250,Department:"Operations"}</v>
      </c>
    </row>
    <row r="5" spans="1:12" ht="31.5" x14ac:dyDescent="0.25">
      <c r="A5" s="166">
        <v>7698</v>
      </c>
      <c r="B5" s="166" t="s">
        <v>103</v>
      </c>
      <c r="C5" s="166">
        <v>2850</v>
      </c>
      <c r="D5" s="166" t="s">
        <v>80</v>
      </c>
      <c r="G5" s="166">
        <v>40</v>
      </c>
      <c r="H5" s="166" t="s">
        <v>89</v>
      </c>
      <c r="I5" s="166" t="s">
        <v>102</v>
      </c>
      <c r="L5" t="str">
        <f>CONCATENATE(G12,G9,H13,A4,I12,H9,H13,H12,B4,H12,I12,I9,H13,C4,I12,J9,H13,H12,D4,H12,J12)</f>
        <v>{Id:7566,Name:"JONES",Salary:2975,Department:"Research"}</v>
      </c>
    </row>
    <row r="6" spans="1:12" ht="31.5" x14ac:dyDescent="0.25">
      <c r="A6" s="166">
        <v>7782</v>
      </c>
      <c r="B6" s="166" t="s">
        <v>101</v>
      </c>
      <c r="C6" s="166">
        <v>2450</v>
      </c>
      <c r="D6" s="166" t="s">
        <v>98</v>
      </c>
      <c r="L6" t="str">
        <f>CONCATENATE(G12,G9,H13,A5,I12,H9,H13,H12,B5,H12,I12,I9,H13,C5,I12,J9,H13,H12,D5,H12,J12)</f>
        <v>{Id:7698,Name:"BLAKE",Salary:2850,Department:"Sales"}</v>
      </c>
    </row>
    <row r="7" spans="1:12" ht="15.75" x14ac:dyDescent="0.25">
      <c r="A7" s="166">
        <v>7788</v>
      </c>
      <c r="B7" s="166" t="s">
        <v>100</v>
      </c>
      <c r="C7" s="166">
        <v>3000</v>
      </c>
      <c r="D7" s="166" t="s">
        <v>83</v>
      </c>
      <c r="L7" t="str">
        <f>CONCATENATE(G12,G9,H13,A6,I12,H9,H13,H12,B6,H12,I12,I9,H13,C6,I12,J9,H13,H12,D6,H12,J12)</f>
        <v>{Id:7782,Name:"CLARK",Salary:2450,Department:"Accounting"}</v>
      </c>
    </row>
    <row r="8" spans="1:12" ht="31.5" x14ac:dyDescent="0.25">
      <c r="A8" s="166">
        <v>7839</v>
      </c>
      <c r="B8" s="166" t="s">
        <v>99</v>
      </c>
      <c r="C8" s="166">
        <v>5000</v>
      </c>
      <c r="D8" s="166" t="s">
        <v>98</v>
      </c>
      <c r="L8" t="str">
        <f>CONCATENATE(G12,G9,H13,A7,I12,H9,H13,H12,B7,H12,I12,I9,H13,C7,I12,J9,H13,H12,D7,H12,J12)</f>
        <v>{Id:7788,Name:"SCOTT",Salary:3000,Department:"Research"}</v>
      </c>
    </row>
    <row r="9" spans="1:12" ht="31.5" x14ac:dyDescent="0.25">
      <c r="A9" s="166">
        <v>7844</v>
      </c>
      <c r="B9" s="166" t="s">
        <v>97</v>
      </c>
      <c r="C9" s="166">
        <v>1500</v>
      </c>
      <c r="D9" s="166" t="s">
        <v>80</v>
      </c>
      <c r="G9" t="s">
        <v>96</v>
      </c>
      <c r="H9" t="s">
        <v>95</v>
      </c>
      <c r="I9" t="s">
        <v>94</v>
      </c>
      <c r="J9" t="s">
        <v>93</v>
      </c>
      <c r="L9" t="str">
        <f>CONCATENATE(G12,G9,H13,A8,I12,H9,H13,H12,B8,H12,I12,I9,H13,C8,I12,J9,H13,H12,D8,H12,J12)</f>
        <v>{Id:7839,Name:"KING",Salary:5000,Department:"Accounting"}</v>
      </c>
    </row>
    <row r="10" spans="1:12" ht="15.75" x14ac:dyDescent="0.25">
      <c r="A10" s="166">
        <v>7876</v>
      </c>
      <c r="B10" s="166" t="s">
        <v>92</v>
      </c>
      <c r="C10" s="166">
        <v>1100</v>
      </c>
      <c r="D10" s="166" t="s">
        <v>83</v>
      </c>
      <c r="L10" t="str">
        <f>CONCATENATE(G12,G9,H13,A9,I12,H9,H13,H12,B9,H12,I12,I9,H13,C9,I12,J9,H13,H12,D9,H12,J12)</f>
        <v>{Id:7844,Name:"TURNER",Salary:1500,Department:"Sales"}</v>
      </c>
    </row>
    <row r="11" spans="1:12" ht="15.75" x14ac:dyDescent="0.25">
      <c r="A11" s="166">
        <v>7900</v>
      </c>
      <c r="B11" s="166" t="s">
        <v>91</v>
      </c>
      <c r="C11" s="166">
        <v>950</v>
      </c>
      <c r="D11" s="166" t="s">
        <v>80</v>
      </c>
      <c r="L11" t="str">
        <f>CONCATENATE(G12,G9,H13,A10,I12,H9,H13,H12,B10,H12,I12,I9,H13,C10,I12,J9,H13,H12,D10,H12,J12)</f>
        <v>{Id:7876,Name:"ADAMS",Salary:1100,Department:"Research"}</v>
      </c>
    </row>
    <row r="12" spans="1:12" ht="31.5" x14ac:dyDescent="0.25">
      <c r="A12" s="166">
        <v>7934</v>
      </c>
      <c r="B12" s="166" t="s">
        <v>90</v>
      </c>
      <c r="C12" s="166">
        <v>1300</v>
      </c>
      <c r="D12" s="166" t="s">
        <v>89</v>
      </c>
      <c r="G12" t="s">
        <v>88</v>
      </c>
      <c r="H12" t="s">
        <v>87</v>
      </c>
      <c r="I12" t="s">
        <v>86</v>
      </c>
      <c r="J12" t="s">
        <v>85</v>
      </c>
      <c r="L12" t="str">
        <f>CONCATENATE(G12,G9,H13,A11,I12,H9,H13,H12,B11,H12,I12,I9,H13,C11,I12,J9,H13,H12,D11,H12,J12)</f>
        <v>{Id:7900,Name:"JAMES",Salary:950,Department:"Sales"}</v>
      </c>
    </row>
    <row r="13" spans="1:12" ht="15.75" x14ac:dyDescent="0.25">
      <c r="A13" s="166">
        <v>7902</v>
      </c>
      <c r="B13" s="166" t="s">
        <v>84</v>
      </c>
      <c r="C13" s="166">
        <v>3000</v>
      </c>
      <c r="D13" s="166" t="s">
        <v>83</v>
      </c>
      <c r="H13" t="s">
        <v>82</v>
      </c>
      <c r="L13" t="str">
        <f>CONCATENATE(G12,G9,H13,A12,I12,H9,H13,H12,B12,H12,I12,I9,H13,C12,I12,J9,H13,H12,D12,H12,J12)</f>
        <v>{Id:7934,Name:"MILLER",Salary:1300,Department:"Operations"}</v>
      </c>
    </row>
    <row r="14" spans="1:12" ht="31.5" x14ac:dyDescent="0.25">
      <c r="A14" s="166">
        <v>7654</v>
      </c>
      <c r="B14" s="166" t="s">
        <v>81</v>
      </c>
      <c r="C14" s="166">
        <v>1250</v>
      </c>
      <c r="D14" s="166" t="s">
        <v>80</v>
      </c>
      <c r="L14" t="str">
        <f>CONCATENATE(G12,G9,H13,A13,I12,H9,H13,H12,B13,H12,I12,I9,H13,C13,I12,J9,H13,H12,D13,H12,J12)</f>
        <v>{Id:7902,Name:"FORD",Salary:3000,Department:"Research"}</v>
      </c>
    </row>
    <row r="21" spans="2:2" x14ac:dyDescent="0.25">
      <c r="B21" t="s">
        <v>79</v>
      </c>
    </row>
    <row r="22" spans="2:2" x14ac:dyDescent="0.25">
      <c r="B22" t="s">
        <v>78</v>
      </c>
    </row>
    <row r="23" spans="2:2" x14ac:dyDescent="0.25">
      <c r="B23" t="s">
        <v>77</v>
      </c>
    </row>
    <row r="24" spans="2:2" x14ac:dyDescent="0.25">
      <c r="B24" t="s">
        <v>76</v>
      </c>
    </row>
    <row r="25" spans="2:2" x14ac:dyDescent="0.25">
      <c r="B25" t="s">
        <v>75</v>
      </c>
    </row>
    <row r="26" spans="2:2" x14ac:dyDescent="0.25">
      <c r="B26" t="s">
        <v>74</v>
      </c>
    </row>
    <row r="27" spans="2:2" x14ac:dyDescent="0.25">
      <c r="B27" t="s">
        <v>73</v>
      </c>
    </row>
    <row r="28" spans="2:2" x14ac:dyDescent="0.25">
      <c r="B28" t="s">
        <v>72</v>
      </c>
    </row>
    <row r="29" spans="2:2" x14ac:dyDescent="0.25">
      <c r="B29" t="s">
        <v>71</v>
      </c>
    </row>
    <row r="30" spans="2:2" x14ac:dyDescent="0.25">
      <c r="B30" t="s">
        <v>70</v>
      </c>
    </row>
    <row r="31" spans="2:2" x14ac:dyDescent="0.25">
      <c r="B31" t="s">
        <v>69</v>
      </c>
    </row>
    <row r="32" spans="2:2" x14ac:dyDescent="0.25">
      <c r="B32" t="s">
        <v>68</v>
      </c>
    </row>
    <row r="33" spans="2:2" x14ac:dyDescent="0.25">
      <c r="B33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D2"/>
  <sheetViews>
    <sheetView workbookViewId="0">
      <selection activeCell="D18" sqref="D18"/>
    </sheetView>
  </sheetViews>
  <sheetFormatPr defaultRowHeight="15" x14ac:dyDescent="0.25"/>
  <cols>
    <col min="2" max="2" width="52.42578125" customWidth="1"/>
    <col min="3" max="3" width="17.85546875" customWidth="1"/>
    <col min="4" max="4" width="87.140625" customWidth="1"/>
  </cols>
  <sheetData>
    <row r="2" spans="2:4" ht="61.5" x14ac:dyDescent="0.9">
      <c r="B2" s="48">
        <f>Sheet2!U67</f>
        <v>0.36156250000000006</v>
      </c>
      <c r="C2" s="44" t="s">
        <v>42</v>
      </c>
      <c r="D2" s="43" t="str">
        <f ca="1">Sheet2!M55</f>
        <v>Go Home...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</xdr:col>
                <xdr:colOff>295275</xdr:colOff>
                <xdr:row>1</xdr:row>
                <xdr:rowOff>19050</xdr:rowOff>
              </from>
              <to>
                <xdr:col>2</xdr:col>
                <xdr:colOff>800100</xdr:colOff>
                <xdr:row>1</xdr:row>
                <xdr:rowOff>352425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12:N26"/>
  <sheetViews>
    <sheetView workbookViewId="0">
      <selection activeCell="D26" sqref="D26"/>
    </sheetView>
  </sheetViews>
  <sheetFormatPr defaultRowHeight="15" x14ac:dyDescent="0.25"/>
  <cols>
    <col min="8" max="8" width="11.5703125" bestFit="1" customWidth="1"/>
    <col min="9" max="11" width="10.5703125" bestFit="1" customWidth="1"/>
  </cols>
  <sheetData>
    <row r="12" spans="4:14" x14ac:dyDescent="0.25">
      <c r="D12" s="96">
        <v>1.3310185185185185E-3</v>
      </c>
    </row>
    <row r="13" spans="4:14" x14ac:dyDescent="0.25">
      <c r="D13" s="120">
        <v>0.12795138888888888</v>
      </c>
      <c r="H13" s="119">
        <v>0.59707175925925926</v>
      </c>
      <c r="I13" s="119">
        <v>0.60420138888888886</v>
      </c>
      <c r="J13" s="119">
        <v>0.64268518518518525</v>
      </c>
      <c r="K13" s="119">
        <v>0.68724537037037037</v>
      </c>
    </row>
    <row r="14" spans="4:14" x14ac:dyDescent="0.25">
      <c r="D14" s="96">
        <v>6.2500000000000001E-4</v>
      </c>
      <c r="H14" s="119">
        <v>0.46912037037037035</v>
      </c>
      <c r="I14" s="119">
        <v>0.59840277777777773</v>
      </c>
      <c r="J14" s="119">
        <v>0.60502314814814817</v>
      </c>
      <c r="K14" s="119">
        <v>0.66150462962962964</v>
      </c>
    </row>
    <row r="15" spans="4:14" x14ac:dyDescent="0.25">
      <c r="D15" s="96">
        <v>4.6296296296296293E-4</v>
      </c>
      <c r="H15" s="121">
        <f>H13-H14</f>
        <v>0.12795138888888891</v>
      </c>
      <c r="I15" s="122">
        <f>I13-I14</f>
        <v>5.7986111111111294E-3</v>
      </c>
      <c r="J15" s="124">
        <f>J13-J14</f>
        <v>3.7662037037037077E-2</v>
      </c>
      <c r="K15" s="126">
        <f>K13-K14</f>
        <v>2.5740740740740731E-2</v>
      </c>
      <c r="L15" s="97">
        <f>SUM(H15:K15)</f>
        <v>0.19715277777777784</v>
      </c>
      <c r="N15" s="49">
        <v>0.16944444444444443</v>
      </c>
    </row>
    <row r="16" spans="4:14" x14ac:dyDescent="0.25">
      <c r="D16" s="123">
        <v>5.7986111111111112E-3</v>
      </c>
    </row>
    <row r="17" spans="4:4" x14ac:dyDescent="0.25">
      <c r="D17" s="96">
        <v>8.2175925925925917E-4</v>
      </c>
    </row>
    <row r="18" spans="4:4" x14ac:dyDescent="0.25">
      <c r="D18" s="125">
        <v>3.7662037037037036E-2</v>
      </c>
    </row>
    <row r="19" spans="4:4" x14ac:dyDescent="0.25">
      <c r="D19" s="96">
        <v>1.7708333333333332E-3</v>
      </c>
    </row>
    <row r="20" spans="4:4" x14ac:dyDescent="0.25">
      <c r="D20" s="96">
        <v>1.1111111111111111E-3</v>
      </c>
    </row>
    <row r="21" spans="4:4" x14ac:dyDescent="0.25">
      <c r="D21" s="96">
        <v>9.2592592592592585E-4</v>
      </c>
    </row>
    <row r="22" spans="4:4" x14ac:dyDescent="0.25">
      <c r="D22" s="127">
        <v>2.5740740740740745E-2</v>
      </c>
    </row>
    <row r="23" spans="4:4" x14ac:dyDescent="0.25">
      <c r="D23" s="96">
        <v>1.4583333333333334E-3</v>
      </c>
    </row>
    <row r="24" spans="4:4" x14ac:dyDescent="0.25">
      <c r="D24" s="128">
        <f>SUM(D12:D23)</f>
        <v>0.20565972222222223</v>
      </c>
    </row>
    <row r="26" spans="4:4" x14ac:dyDescent="0.25">
      <c r="D26" s="128">
        <v>0.20565972222222223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Q127"/>
  <sheetViews>
    <sheetView workbookViewId="0">
      <selection activeCell="E113" sqref="E113"/>
    </sheetView>
  </sheetViews>
  <sheetFormatPr defaultRowHeight="15" x14ac:dyDescent="0.25"/>
  <cols>
    <col min="4" max="4" width="13" customWidth="1"/>
    <col min="8" max="8" width="11.140625" customWidth="1"/>
  </cols>
  <sheetData>
    <row r="4" spans="3:8" ht="15.75" thickBot="1" x14ac:dyDescent="0.3"/>
    <row r="5" spans="3:8" ht="15.75" thickBot="1" x14ac:dyDescent="0.3">
      <c r="C5" s="7"/>
      <c r="D5" s="8"/>
      <c r="E5" s="9"/>
      <c r="F5" s="9"/>
      <c r="G5" s="8"/>
      <c r="H5" s="46"/>
    </row>
    <row r="6" spans="3:8" ht="18.75" x14ac:dyDescent="0.3">
      <c r="C6" s="31"/>
      <c r="D6" s="32"/>
      <c r="E6" s="16"/>
      <c r="F6" s="47"/>
      <c r="G6" s="14"/>
    </row>
    <row r="7" spans="3:8" x14ac:dyDescent="0.25">
      <c r="C7" s="5"/>
      <c r="D7" s="33"/>
      <c r="E7" s="17"/>
      <c r="F7" s="19"/>
      <c r="G7" s="15"/>
      <c r="H7" s="49"/>
    </row>
    <row r="8" spans="3:8" x14ac:dyDescent="0.25">
      <c r="C8" s="5"/>
      <c r="D8" s="33"/>
      <c r="E8" s="17"/>
      <c r="F8" s="19"/>
      <c r="G8" s="15"/>
      <c r="H8" s="49"/>
    </row>
    <row r="9" spans="3:8" x14ac:dyDescent="0.25">
      <c r="C9" s="5"/>
      <c r="D9" s="33"/>
      <c r="E9" s="17"/>
      <c r="F9" s="19"/>
      <c r="G9" s="15"/>
    </row>
    <row r="10" spans="3:8" x14ac:dyDescent="0.25">
      <c r="C10" s="5"/>
      <c r="D10" s="33"/>
      <c r="E10" s="17"/>
      <c r="F10" s="19"/>
      <c r="G10" s="15"/>
      <c r="H10" s="49"/>
    </row>
    <row r="11" spans="3:8" x14ac:dyDescent="0.25">
      <c r="C11" s="5"/>
      <c r="D11" s="33"/>
      <c r="E11" s="17"/>
      <c r="F11" s="19"/>
      <c r="G11" s="15"/>
      <c r="H11" s="49"/>
    </row>
    <row r="12" spans="3:8" ht="15.75" thickBot="1" x14ac:dyDescent="0.3">
      <c r="C12" s="6"/>
      <c r="D12" s="34"/>
      <c r="E12" s="17"/>
      <c r="F12" s="19"/>
      <c r="G12" s="15"/>
    </row>
    <row r="13" spans="3:8" x14ac:dyDescent="0.25">
      <c r="C13" s="4"/>
      <c r="D13" s="32"/>
      <c r="E13" s="18"/>
      <c r="F13" s="19"/>
      <c r="G13" s="15"/>
    </row>
    <row r="14" spans="3:8" x14ac:dyDescent="0.25">
      <c r="C14" s="5"/>
      <c r="D14" s="33"/>
      <c r="E14" s="17"/>
      <c r="F14" s="19"/>
      <c r="G14" s="15"/>
      <c r="H14" s="49"/>
    </row>
    <row r="15" spans="3:8" x14ac:dyDescent="0.25">
      <c r="C15" s="5"/>
      <c r="D15" s="33"/>
      <c r="E15" s="17"/>
      <c r="F15" s="19"/>
      <c r="G15" s="15"/>
      <c r="H15" s="49"/>
    </row>
    <row r="16" spans="3:8" x14ac:dyDescent="0.25">
      <c r="C16" s="5"/>
      <c r="D16" s="33"/>
      <c r="E16" s="17"/>
      <c r="F16" s="19"/>
      <c r="G16" s="15"/>
      <c r="H16" s="49"/>
    </row>
    <row r="17" spans="3:8" x14ac:dyDescent="0.25">
      <c r="C17" s="5"/>
      <c r="D17" s="33"/>
      <c r="E17" s="17"/>
      <c r="F17" s="19"/>
      <c r="G17" s="15"/>
      <c r="H17" s="49"/>
    </row>
    <row r="18" spans="3:8" x14ac:dyDescent="0.25">
      <c r="C18" s="5"/>
      <c r="D18" s="33"/>
      <c r="E18" s="17"/>
      <c r="F18" s="19"/>
      <c r="G18" s="15"/>
      <c r="H18" s="3"/>
    </row>
    <row r="19" spans="3:8" ht="15.75" thickBot="1" x14ac:dyDescent="0.3">
      <c r="C19" s="6"/>
      <c r="D19" s="34"/>
      <c r="E19" s="20"/>
      <c r="F19" s="19"/>
      <c r="G19" s="38"/>
      <c r="H19" s="3"/>
    </row>
    <row r="20" spans="3:8" x14ac:dyDescent="0.25">
      <c r="D20" s="1"/>
      <c r="F20" s="39"/>
      <c r="G20" s="42"/>
    </row>
    <row r="21" spans="3:8" ht="15.75" thickBot="1" x14ac:dyDescent="0.3">
      <c r="F21" s="40"/>
      <c r="G21" s="41"/>
    </row>
    <row r="25" spans="3:8" ht="15.75" thickBot="1" x14ac:dyDescent="0.3"/>
    <row r="26" spans="3:8" ht="15.75" thickBot="1" x14ac:dyDescent="0.3">
      <c r="C26" s="7"/>
      <c r="D26" s="8"/>
      <c r="E26" s="9"/>
      <c r="F26" s="9"/>
      <c r="G26" s="8"/>
      <c r="H26" s="46"/>
    </row>
    <row r="27" spans="3:8" ht="18.75" x14ac:dyDescent="0.3">
      <c r="C27" s="31"/>
      <c r="D27" s="32"/>
      <c r="E27" s="16"/>
      <c r="F27" s="47"/>
      <c r="G27" s="14"/>
    </row>
    <row r="28" spans="3:8" x14ac:dyDescent="0.25">
      <c r="C28" s="5"/>
      <c r="D28" s="33"/>
      <c r="E28" s="17"/>
      <c r="F28" s="19"/>
      <c r="G28" s="15"/>
      <c r="H28" s="49"/>
    </row>
    <row r="29" spans="3:8" x14ac:dyDescent="0.25">
      <c r="C29" s="5"/>
      <c r="D29" s="33"/>
      <c r="E29" s="17"/>
      <c r="F29" s="19"/>
      <c r="G29" s="15"/>
      <c r="H29" s="49"/>
    </row>
    <row r="30" spans="3:8" x14ac:dyDescent="0.25">
      <c r="C30" s="5"/>
      <c r="D30" s="33"/>
      <c r="E30" s="17"/>
      <c r="F30" s="19"/>
      <c r="G30" s="15"/>
      <c r="H30" s="49"/>
    </row>
    <row r="31" spans="3:8" x14ac:dyDescent="0.25">
      <c r="C31" s="5"/>
      <c r="D31" s="33"/>
      <c r="E31" s="17"/>
      <c r="F31" s="19"/>
      <c r="G31" s="15"/>
      <c r="H31" s="49"/>
    </row>
    <row r="32" spans="3:8" x14ac:dyDescent="0.25">
      <c r="C32" s="5"/>
      <c r="D32" s="33"/>
      <c r="E32" s="17"/>
      <c r="F32" s="19"/>
      <c r="G32" s="15"/>
      <c r="H32" s="49"/>
    </row>
    <row r="33" spans="3:9" ht="15.75" thickBot="1" x14ac:dyDescent="0.3">
      <c r="C33" s="6"/>
      <c r="D33" s="34"/>
      <c r="E33" s="17"/>
      <c r="F33" s="19"/>
      <c r="G33" s="15"/>
    </row>
    <row r="34" spans="3:9" x14ac:dyDescent="0.25">
      <c r="C34" s="4"/>
      <c r="D34" s="32"/>
      <c r="E34" s="18"/>
      <c r="F34" s="19"/>
      <c r="G34" s="15"/>
    </row>
    <row r="35" spans="3:9" x14ac:dyDescent="0.25">
      <c r="C35" s="5"/>
      <c r="D35" s="33"/>
      <c r="E35" s="45"/>
      <c r="F35" s="19"/>
      <c r="G35" s="15"/>
      <c r="H35" s="49"/>
    </row>
    <row r="36" spans="3:9" x14ac:dyDescent="0.25">
      <c r="C36" s="5"/>
      <c r="D36" s="33"/>
      <c r="E36" s="17"/>
      <c r="F36" s="19"/>
      <c r="G36" s="15"/>
      <c r="H36" s="49"/>
    </row>
    <row r="37" spans="3:9" x14ac:dyDescent="0.25">
      <c r="C37" s="5"/>
      <c r="D37" s="33"/>
      <c r="E37" s="45"/>
      <c r="F37" s="19"/>
      <c r="G37" s="15"/>
      <c r="H37" s="49"/>
      <c r="I37" s="11"/>
    </row>
    <row r="38" spans="3:9" x14ac:dyDescent="0.25">
      <c r="C38" s="5"/>
      <c r="D38" s="33"/>
      <c r="E38" s="45"/>
      <c r="F38" s="19"/>
      <c r="G38" s="15"/>
      <c r="H38" s="49"/>
      <c r="I38" s="11"/>
    </row>
    <row r="39" spans="3:9" x14ac:dyDescent="0.25">
      <c r="C39" s="5"/>
      <c r="D39" s="33"/>
      <c r="E39" s="45"/>
      <c r="F39" s="19"/>
      <c r="G39" s="15"/>
      <c r="H39" s="3"/>
      <c r="I39" s="11"/>
    </row>
    <row r="40" spans="3:9" ht="15.75" thickBot="1" x14ac:dyDescent="0.3">
      <c r="C40" s="6"/>
      <c r="D40" s="34"/>
      <c r="E40" s="20"/>
      <c r="F40" s="19"/>
      <c r="G40" s="38"/>
      <c r="H40" s="3"/>
      <c r="I40" s="11"/>
    </row>
    <row r="41" spans="3:9" x14ac:dyDescent="0.25">
      <c r="D41" s="1"/>
      <c r="F41" s="39"/>
      <c r="G41" s="42"/>
    </row>
    <row r="42" spans="3:9" ht="15.75" thickBot="1" x14ac:dyDescent="0.3">
      <c r="F42" s="40"/>
      <c r="G42" s="41"/>
    </row>
    <row r="46" spans="3:9" ht="15.75" thickBot="1" x14ac:dyDescent="0.3"/>
    <row r="47" spans="3:9" ht="15.75" thickBot="1" x14ac:dyDescent="0.3">
      <c r="C47" s="7"/>
      <c r="D47" s="8"/>
      <c r="E47" s="9"/>
      <c r="F47" s="9"/>
      <c r="G47" s="8"/>
      <c r="H47" s="46"/>
    </row>
    <row r="48" spans="3:9" ht="18.75" x14ac:dyDescent="0.3">
      <c r="C48" s="31"/>
      <c r="D48" s="32"/>
      <c r="E48" s="16"/>
      <c r="F48" s="47"/>
      <c r="G48" s="14"/>
    </row>
    <row r="49" spans="3:8" x14ac:dyDescent="0.25">
      <c r="C49" s="5"/>
      <c r="D49" s="33"/>
      <c r="E49" s="17"/>
      <c r="F49" s="19"/>
      <c r="G49" s="15"/>
      <c r="H49" s="49"/>
    </row>
    <row r="50" spans="3:8" x14ac:dyDescent="0.25">
      <c r="C50" s="5"/>
      <c r="D50" s="33"/>
      <c r="E50" s="17"/>
      <c r="F50" s="19"/>
      <c r="G50" s="15"/>
      <c r="H50" s="49"/>
    </row>
    <row r="51" spans="3:8" x14ac:dyDescent="0.25">
      <c r="C51" s="5"/>
      <c r="D51" s="33"/>
      <c r="E51" s="17"/>
      <c r="F51" s="19"/>
      <c r="G51" s="15"/>
      <c r="H51" s="49"/>
    </row>
    <row r="52" spans="3:8" x14ac:dyDescent="0.25">
      <c r="C52" s="5"/>
      <c r="D52" s="33"/>
      <c r="E52" s="17"/>
      <c r="F52" s="19"/>
      <c r="G52" s="15"/>
      <c r="H52" s="49"/>
    </row>
    <row r="53" spans="3:8" x14ac:dyDescent="0.25">
      <c r="C53" s="5"/>
      <c r="D53" s="33"/>
      <c r="E53" s="17"/>
      <c r="F53" s="19"/>
      <c r="G53" s="15"/>
      <c r="H53" s="49"/>
    </row>
    <row r="54" spans="3:8" ht="15.75" thickBot="1" x14ac:dyDescent="0.3">
      <c r="C54" s="6"/>
      <c r="D54" s="34"/>
      <c r="E54" s="17"/>
      <c r="F54" s="19"/>
      <c r="G54" s="15"/>
    </row>
    <row r="55" spans="3:8" x14ac:dyDescent="0.25">
      <c r="C55" s="4"/>
      <c r="D55" s="32"/>
      <c r="E55" s="18"/>
      <c r="F55" s="19"/>
      <c r="G55" s="15"/>
    </row>
    <row r="56" spans="3:8" x14ac:dyDescent="0.25">
      <c r="C56" s="5"/>
      <c r="D56" s="33"/>
      <c r="E56" s="45"/>
      <c r="F56" s="19"/>
      <c r="G56" s="15"/>
      <c r="H56" s="49"/>
    </row>
    <row r="57" spans="3:8" x14ac:dyDescent="0.25">
      <c r="C57" s="5"/>
      <c r="D57" s="33"/>
      <c r="E57" s="45"/>
      <c r="F57" s="19"/>
      <c r="G57" s="15"/>
      <c r="H57" s="49"/>
    </row>
    <row r="58" spans="3:8" x14ac:dyDescent="0.25">
      <c r="C58" s="5"/>
      <c r="D58" s="33"/>
      <c r="E58" s="45"/>
      <c r="F58" s="19"/>
      <c r="G58" s="15"/>
      <c r="H58" s="49"/>
    </row>
    <row r="59" spans="3:8" x14ac:dyDescent="0.25">
      <c r="C59" s="5"/>
      <c r="D59" s="33"/>
      <c r="E59" s="45"/>
      <c r="F59" s="19"/>
      <c r="G59" s="15"/>
      <c r="H59" s="49"/>
    </row>
    <row r="60" spans="3:8" x14ac:dyDescent="0.25">
      <c r="C60" s="5"/>
      <c r="D60" s="33"/>
      <c r="E60" s="45"/>
      <c r="F60" s="19"/>
      <c r="G60" s="15"/>
      <c r="H60" s="49"/>
    </row>
    <row r="61" spans="3:8" ht="15.75" thickBot="1" x14ac:dyDescent="0.3">
      <c r="C61" s="6"/>
      <c r="D61" s="34"/>
      <c r="E61" s="20"/>
      <c r="F61" s="19"/>
      <c r="G61" s="38"/>
      <c r="H61" s="3"/>
    </row>
    <row r="62" spans="3:8" x14ac:dyDescent="0.25">
      <c r="D62" s="1"/>
      <c r="F62" s="39"/>
      <c r="G62" s="42"/>
    </row>
    <row r="63" spans="3:8" ht="15.75" thickBot="1" x14ac:dyDescent="0.3">
      <c r="F63" s="40"/>
      <c r="G63" s="41"/>
    </row>
    <row r="67" spans="2:17" ht="15.75" thickBot="1" x14ac:dyDescent="0.3"/>
    <row r="68" spans="2:17" ht="15.75" thickBot="1" x14ac:dyDescent="0.3">
      <c r="B68" s="35"/>
      <c r="C68" s="7"/>
      <c r="D68" s="8"/>
      <c r="E68" s="9"/>
      <c r="F68" s="9"/>
      <c r="G68" s="8"/>
      <c r="H68" s="46"/>
    </row>
    <row r="69" spans="2:17" ht="20.25" thickTop="1" thickBot="1" x14ac:dyDescent="0.35">
      <c r="B69" s="36"/>
      <c r="C69" s="31"/>
      <c r="D69" s="32"/>
      <c r="E69" s="16"/>
      <c r="F69" s="47"/>
      <c r="G69" s="14"/>
    </row>
    <row r="70" spans="2:17" ht="15.75" thickTop="1" x14ac:dyDescent="0.25">
      <c r="C70" s="5"/>
      <c r="D70" s="33"/>
      <c r="E70" s="45"/>
      <c r="F70" s="19"/>
      <c r="G70" s="15"/>
      <c r="H70" s="49"/>
    </row>
    <row r="71" spans="2:17" x14ac:dyDescent="0.25">
      <c r="C71" s="5"/>
      <c r="D71" s="33"/>
      <c r="E71" s="45"/>
      <c r="F71" s="19"/>
      <c r="G71" s="15"/>
      <c r="H71" s="49"/>
    </row>
    <row r="72" spans="2:17" x14ac:dyDescent="0.25">
      <c r="C72" s="5"/>
      <c r="D72" s="33"/>
      <c r="E72" s="45"/>
      <c r="F72" s="19"/>
      <c r="G72" s="15"/>
      <c r="H72" s="49"/>
    </row>
    <row r="73" spans="2:17" x14ac:dyDescent="0.25">
      <c r="C73" s="5"/>
      <c r="D73" s="33"/>
      <c r="E73" s="45"/>
      <c r="F73" s="19"/>
      <c r="G73" s="15"/>
      <c r="H73" s="49"/>
    </row>
    <row r="74" spans="2:17" x14ac:dyDescent="0.25">
      <c r="C74" s="5"/>
      <c r="D74" s="33"/>
      <c r="E74" s="45"/>
      <c r="F74" s="19"/>
      <c r="G74" s="15"/>
      <c r="H74" s="49"/>
    </row>
    <row r="75" spans="2:17" ht="15.75" thickBot="1" x14ac:dyDescent="0.3">
      <c r="B75" s="35"/>
      <c r="C75" s="6"/>
      <c r="D75" s="34"/>
      <c r="E75" s="17"/>
      <c r="F75" s="19"/>
      <c r="G75" s="15"/>
    </row>
    <row r="76" spans="2:17" ht="20.25" thickTop="1" thickBot="1" x14ac:dyDescent="0.35">
      <c r="B76" s="37"/>
      <c r="C76" s="4"/>
      <c r="D76" s="32"/>
      <c r="E76" s="18"/>
      <c r="F76" s="19"/>
      <c r="G76" s="15"/>
      <c r="P76" s="50"/>
      <c r="Q76" s="50"/>
    </row>
    <row r="77" spans="2:17" ht="15.75" thickTop="1" x14ac:dyDescent="0.25">
      <c r="C77" s="5"/>
      <c r="D77" s="33"/>
      <c r="E77" s="45"/>
      <c r="F77" s="19"/>
      <c r="G77" s="15"/>
      <c r="H77" s="49"/>
      <c r="Q77" s="50"/>
    </row>
    <row r="78" spans="2:17" x14ac:dyDescent="0.25">
      <c r="C78" s="5"/>
      <c r="D78" s="33"/>
      <c r="E78" s="45"/>
      <c r="F78" s="19"/>
      <c r="G78" s="15"/>
      <c r="H78" s="49"/>
    </row>
    <row r="79" spans="2:17" x14ac:dyDescent="0.25">
      <c r="C79" s="5"/>
      <c r="D79" s="33"/>
      <c r="E79" s="45"/>
      <c r="F79" s="19"/>
      <c r="G79" s="15"/>
      <c r="H79" s="49"/>
    </row>
    <row r="80" spans="2:17" x14ac:dyDescent="0.25">
      <c r="C80" s="5"/>
      <c r="D80" s="33"/>
      <c r="E80" s="45"/>
      <c r="F80" s="19"/>
      <c r="G80" s="15"/>
      <c r="H80" s="49"/>
    </row>
    <row r="81" spans="2:8" x14ac:dyDescent="0.25">
      <c r="C81" s="5"/>
      <c r="D81" s="33"/>
      <c r="E81" s="45"/>
      <c r="F81" s="19"/>
      <c r="G81" s="15"/>
      <c r="H81" s="49"/>
    </row>
    <row r="82" spans="2:8" ht="15.75" thickBot="1" x14ac:dyDescent="0.3">
      <c r="C82" s="6"/>
      <c r="D82" s="34"/>
      <c r="E82" s="20"/>
      <c r="F82" s="19"/>
      <c r="G82" s="38"/>
      <c r="H82" s="3"/>
    </row>
    <row r="83" spans="2:8" x14ac:dyDescent="0.25">
      <c r="D83" s="1"/>
      <c r="F83" s="39"/>
      <c r="G83" s="42"/>
    </row>
    <row r="84" spans="2:8" ht="15.75" thickBot="1" x14ac:dyDescent="0.3">
      <c r="F84" s="40"/>
      <c r="G84" s="41"/>
    </row>
    <row r="88" spans="2:8" ht="15.75" thickBot="1" x14ac:dyDescent="0.3"/>
    <row r="89" spans="2:8" ht="15.75" thickBot="1" x14ac:dyDescent="0.3">
      <c r="B89" s="35"/>
      <c r="C89" s="7"/>
      <c r="D89" s="8"/>
      <c r="E89" s="9"/>
      <c r="F89" s="9"/>
      <c r="G89" s="8"/>
      <c r="H89" s="46"/>
    </row>
    <row r="90" spans="2:8" ht="20.25" thickTop="1" thickBot="1" x14ac:dyDescent="0.35">
      <c r="B90" s="36"/>
      <c r="C90" s="31"/>
      <c r="D90" s="32"/>
      <c r="E90" s="16"/>
      <c r="F90" s="47"/>
      <c r="G90" s="14"/>
    </row>
    <row r="91" spans="2:8" ht="15.75" thickTop="1" x14ac:dyDescent="0.25">
      <c r="C91" s="5"/>
      <c r="D91" s="33"/>
      <c r="E91" s="45"/>
      <c r="F91" s="19"/>
      <c r="G91" s="15"/>
      <c r="H91" s="49"/>
    </row>
    <row r="92" spans="2:8" x14ac:dyDescent="0.25">
      <c r="C92" s="5"/>
      <c r="D92" s="33"/>
      <c r="E92" s="45"/>
      <c r="F92" s="19"/>
      <c r="G92" s="15"/>
      <c r="H92" s="49"/>
    </row>
    <row r="93" spans="2:8" x14ac:dyDescent="0.25">
      <c r="C93" s="5"/>
      <c r="D93" s="33"/>
      <c r="E93" s="45"/>
      <c r="F93" s="19"/>
      <c r="G93" s="15"/>
      <c r="H93" s="49"/>
    </row>
    <row r="94" spans="2:8" x14ac:dyDescent="0.25">
      <c r="C94" s="5"/>
      <c r="D94" s="33"/>
      <c r="E94" s="45"/>
      <c r="F94" s="19"/>
      <c r="G94" s="15"/>
      <c r="H94" s="49"/>
    </row>
    <row r="95" spans="2:8" x14ac:dyDescent="0.25">
      <c r="C95" s="5"/>
      <c r="D95" s="33"/>
      <c r="E95" s="45"/>
      <c r="F95" s="19"/>
      <c r="G95" s="15"/>
      <c r="H95" s="49"/>
    </row>
    <row r="96" spans="2:8" ht="15.75" thickBot="1" x14ac:dyDescent="0.3">
      <c r="B96" s="35"/>
      <c r="C96" s="6"/>
      <c r="D96" s="34"/>
      <c r="E96" s="17"/>
      <c r="F96" s="19"/>
      <c r="G96" s="15"/>
    </row>
    <row r="97" spans="2:9" ht="20.25" thickTop="1" thickBot="1" x14ac:dyDescent="0.35">
      <c r="B97" s="37"/>
      <c r="C97" s="4"/>
      <c r="D97" s="32"/>
      <c r="E97" s="18"/>
      <c r="F97" s="19"/>
      <c r="G97" s="15"/>
    </row>
    <row r="98" spans="2:9" ht="15.75" thickTop="1" x14ac:dyDescent="0.25">
      <c r="C98" s="5"/>
      <c r="D98" s="33"/>
      <c r="E98" s="45"/>
      <c r="F98" s="19"/>
      <c r="G98" s="15"/>
      <c r="H98" s="49"/>
    </row>
    <row r="99" spans="2:9" x14ac:dyDescent="0.25">
      <c r="C99" s="5"/>
      <c r="D99" s="33"/>
      <c r="E99" s="45"/>
      <c r="F99" s="19"/>
      <c r="G99" s="15"/>
      <c r="H99" s="49"/>
    </row>
    <row r="100" spans="2:9" x14ac:dyDescent="0.25">
      <c r="C100" s="5"/>
      <c r="D100" s="33"/>
      <c r="E100" s="45"/>
      <c r="F100" s="19"/>
      <c r="G100" s="15"/>
      <c r="H100" s="49"/>
    </row>
    <row r="101" spans="2:9" x14ac:dyDescent="0.25">
      <c r="C101" s="5"/>
      <c r="D101" s="33"/>
      <c r="E101" s="45"/>
      <c r="F101" s="19"/>
      <c r="G101" s="15"/>
      <c r="H101" s="49"/>
    </row>
    <row r="102" spans="2:9" x14ac:dyDescent="0.25">
      <c r="C102" s="5"/>
      <c r="D102" s="33"/>
      <c r="E102" s="45"/>
      <c r="F102" s="19"/>
      <c r="G102" s="15"/>
      <c r="H102" s="49"/>
    </row>
    <row r="103" spans="2:9" ht="15.75" thickBot="1" x14ac:dyDescent="0.3">
      <c r="C103" s="6"/>
      <c r="D103" s="34"/>
      <c r="E103" s="20"/>
      <c r="F103" s="19"/>
      <c r="G103" s="38"/>
      <c r="H103" s="3"/>
    </row>
    <row r="104" spans="2:9" x14ac:dyDescent="0.25">
      <c r="D104" s="1"/>
      <c r="F104" s="39"/>
      <c r="G104" s="42"/>
    </row>
    <row r="105" spans="2:9" ht="15.75" thickBot="1" x14ac:dyDescent="0.3">
      <c r="F105" s="40"/>
      <c r="G105" s="41"/>
    </row>
    <row r="110" spans="2:9" ht="15.75" thickBot="1" x14ac:dyDescent="0.3"/>
    <row r="111" spans="2:9" ht="15.75" thickBot="1" x14ac:dyDescent="0.3">
      <c r="C111" s="35"/>
      <c r="D111" s="7"/>
      <c r="E111" s="8"/>
      <c r="F111" s="9"/>
      <c r="G111" s="9"/>
      <c r="H111" s="8"/>
      <c r="I111" s="46"/>
    </row>
    <row r="112" spans="2:9" ht="20.25" thickTop="1" thickBot="1" x14ac:dyDescent="0.35">
      <c r="C112" s="36"/>
      <c r="D112" s="31"/>
      <c r="E112" s="32"/>
      <c r="F112" s="16"/>
      <c r="G112" s="47"/>
      <c r="H112" s="14"/>
    </row>
    <row r="113" spans="3:9" ht="15.75" thickTop="1" x14ac:dyDescent="0.25">
      <c r="D113" s="5"/>
      <c r="E113" s="33"/>
      <c r="F113" s="17"/>
      <c r="G113" s="19"/>
      <c r="H113" s="15"/>
      <c r="I113" s="49"/>
    </row>
    <row r="114" spans="3:9" x14ac:dyDescent="0.25">
      <c r="D114" s="5"/>
      <c r="E114" s="33"/>
      <c r="F114" s="17"/>
      <c r="G114" s="19"/>
      <c r="H114" s="15"/>
      <c r="I114" s="49"/>
    </row>
    <row r="115" spans="3:9" x14ac:dyDescent="0.25">
      <c r="D115" s="5"/>
      <c r="E115" s="33"/>
      <c r="F115" s="17"/>
      <c r="G115" s="19"/>
      <c r="H115" s="15"/>
      <c r="I115" s="49"/>
    </row>
    <row r="116" spans="3:9" x14ac:dyDescent="0.25">
      <c r="D116" s="5"/>
      <c r="E116" s="33"/>
      <c r="F116" s="17"/>
      <c r="G116" s="19"/>
      <c r="H116" s="15"/>
      <c r="I116" s="49"/>
    </row>
    <row r="117" spans="3:9" x14ac:dyDescent="0.25">
      <c r="D117" s="5"/>
      <c r="E117" s="33"/>
      <c r="F117" s="17"/>
      <c r="G117" s="19"/>
      <c r="H117" s="15"/>
      <c r="I117" s="49"/>
    </row>
    <row r="118" spans="3:9" ht="15.75" thickBot="1" x14ac:dyDescent="0.3">
      <c r="C118" s="35"/>
      <c r="D118" s="6"/>
      <c r="E118" s="34"/>
      <c r="F118" s="17"/>
      <c r="G118" s="19"/>
      <c r="H118" s="15"/>
    </row>
    <row r="119" spans="3:9" ht="20.25" thickTop="1" thickBot="1" x14ac:dyDescent="0.35">
      <c r="C119" s="37"/>
      <c r="D119" s="4"/>
      <c r="E119" s="32"/>
      <c r="F119" s="18"/>
      <c r="G119" s="19"/>
      <c r="H119" s="15"/>
    </row>
    <row r="120" spans="3:9" ht="15.75" thickTop="1" x14ac:dyDescent="0.25">
      <c r="D120" s="5"/>
      <c r="E120" s="33"/>
      <c r="F120" s="17"/>
      <c r="G120" s="19"/>
      <c r="H120" s="15"/>
      <c r="I120" s="49"/>
    </row>
    <row r="121" spans="3:9" x14ac:dyDescent="0.25">
      <c r="D121" s="5"/>
      <c r="E121" s="33"/>
      <c r="F121" s="17"/>
      <c r="G121" s="19"/>
      <c r="H121" s="15"/>
      <c r="I121" s="49"/>
    </row>
    <row r="122" spans="3:9" x14ac:dyDescent="0.25">
      <c r="D122" s="5"/>
      <c r="E122" s="33"/>
      <c r="F122" s="45"/>
      <c r="G122" s="19"/>
      <c r="H122" s="15"/>
      <c r="I122" s="49"/>
    </row>
    <row r="123" spans="3:9" x14ac:dyDescent="0.25">
      <c r="D123" s="5"/>
      <c r="E123" s="33"/>
      <c r="F123" s="45"/>
      <c r="G123" s="19"/>
      <c r="H123" s="15"/>
      <c r="I123" s="49"/>
    </row>
    <row r="124" spans="3:9" x14ac:dyDescent="0.25">
      <c r="D124" s="5"/>
      <c r="E124" s="33"/>
      <c r="F124" s="45"/>
      <c r="G124" s="19"/>
      <c r="H124" s="15"/>
      <c r="I124" s="49"/>
    </row>
    <row r="125" spans="3:9" ht="15.75" thickBot="1" x14ac:dyDescent="0.3">
      <c r="D125" s="6"/>
      <c r="E125" s="34"/>
      <c r="F125" s="20"/>
      <c r="G125" s="19"/>
      <c r="H125" s="38"/>
      <c r="I125" s="3"/>
    </row>
    <row r="126" spans="3:9" x14ac:dyDescent="0.25">
      <c r="E126" s="1"/>
      <c r="G126" s="39"/>
      <c r="H126" s="42"/>
    </row>
    <row r="127" spans="3:9" ht="15.75" thickBot="1" x14ac:dyDescent="0.3">
      <c r="G127" s="40"/>
      <c r="H127" s="41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Sheet2</vt:lpstr>
      <vt:lpstr>Sheet3</vt:lpstr>
      <vt:lpstr>MinReport</vt:lpstr>
      <vt:lpstr>Sheet1</vt:lpstr>
      <vt:lpstr>TEMP</vt:lpstr>
      <vt:lpstr>XgB99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A. Jain</dc:creator>
  <cp:lastModifiedBy>Mitesh Surendra Rambade</cp:lastModifiedBy>
  <cp:lastPrinted>2017-09-22T08:28:45Z</cp:lastPrinted>
  <dcterms:created xsi:type="dcterms:W3CDTF">2006-09-16T00:00:00Z</dcterms:created>
  <dcterms:modified xsi:type="dcterms:W3CDTF">2024-05-29T15:16:08Z</dcterms:modified>
</cp:coreProperties>
</file>