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11850" windowHeight="5940" tabRatio="272"/>
  </bookViews>
  <sheets>
    <sheet name="Sheet2" sheetId="2" r:id="rId1"/>
    <sheet name="MinReport" sheetId="3" r:id="rId2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K139" i="2" l="1"/>
  <c r="T154" i="2" l="1"/>
  <c r="U154" i="2" s="1"/>
  <c r="T153" i="2"/>
  <c r="U153" i="2" s="1"/>
  <c r="T152" i="2"/>
  <c r="U152" i="2" s="1"/>
  <c r="T151" i="2"/>
  <c r="U151" i="2" s="1"/>
  <c r="T150" i="2"/>
  <c r="U150" i="2" s="1"/>
  <c r="T149" i="2"/>
  <c r="U149" i="2" s="1"/>
  <c r="T148" i="2"/>
  <c r="U148" i="2" s="1"/>
  <c r="J149" i="2" l="1"/>
  <c r="K149" i="2" s="1"/>
  <c r="L2" i="2" l="1"/>
  <c r="K3" i="2" s="1"/>
  <c r="M39" i="2" l="1"/>
  <c r="M38" i="2"/>
  <c r="M5" i="2"/>
  <c r="T108" i="2" l="1"/>
  <c r="U108" i="2" s="1"/>
  <c r="T109" i="2"/>
  <c r="B164" i="2" l="1"/>
  <c r="B166" i="2" s="1"/>
  <c r="L40" i="2" s="1"/>
  <c r="J148" i="2"/>
  <c r="K148" i="2" s="1"/>
  <c r="T147" i="2"/>
  <c r="U147" i="2" s="1"/>
  <c r="J147" i="2"/>
  <c r="K147" i="2" s="1"/>
  <c r="T146" i="2"/>
  <c r="U146" i="2" s="1"/>
  <c r="J146" i="2"/>
  <c r="K146" i="2" s="1"/>
  <c r="T145" i="2"/>
  <c r="U145" i="2" s="1"/>
  <c r="J145" i="2"/>
  <c r="K145" i="2" s="1"/>
  <c r="T144" i="2"/>
  <c r="U144" i="2" s="1"/>
  <c r="J144" i="2"/>
  <c r="K144" i="2" s="1"/>
  <c r="T143" i="2"/>
  <c r="U143" i="2" s="1"/>
  <c r="J143" i="2"/>
  <c r="K143" i="2" s="1"/>
  <c r="T142" i="2"/>
  <c r="U142" i="2" s="1"/>
  <c r="J142" i="2"/>
  <c r="K142" i="2" s="1"/>
  <c r="T141" i="2"/>
  <c r="U141" i="2" s="1"/>
  <c r="J141" i="2"/>
  <c r="K141" i="2" s="1"/>
  <c r="T140" i="2"/>
  <c r="U140" i="2" s="1"/>
  <c r="J140" i="2"/>
  <c r="K140" i="2" s="1"/>
  <c r="T139" i="2"/>
  <c r="U139" i="2" s="1"/>
  <c r="J139" i="2"/>
  <c r="T138" i="2"/>
  <c r="U138" i="2" s="1"/>
  <c r="J138" i="2"/>
  <c r="K138" i="2" s="1"/>
  <c r="T137" i="2"/>
  <c r="U137" i="2" s="1"/>
  <c r="J137" i="2"/>
  <c r="K137" i="2" s="1"/>
  <c r="T136" i="2"/>
  <c r="U136" i="2" s="1"/>
  <c r="J136" i="2"/>
  <c r="K136" i="2" s="1"/>
  <c r="T135" i="2"/>
  <c r="U135" i="2" s="1"/>
  <c r="J135" i="2"/>
  <c r="K135" i="2" s="1"/>
  <c r="T134" i="2"/>
  <c r="U134" i="2" s="1"/>
  <c r="J134" i="2"/>
  <c r="K134" i="2" s="1"/>
  <c r="T133" i="2"/>
  <c r="U133" i="2" s="1"/>
  <c r="J133" i="2"/>
  <c r="K133" i="2" s="1"/>
  <c r="T132" i="2"/>
  <c r="U132" i="2" s="1"/>
  <c r="J132" i="2"/>
  <c r="K132" i="2" s="1"/>
  <c r="T131" i="2"/>
  <c r="U131" i="2" s="1"/>
  <c r="J131" i="2"/>
  <c r="K131" i="2" s="1"/>
  <c r="T130" i="2"/>
  <c r="U130" i="2" s="1"/>
  <c r="J130" i="2"/>
  <c r="K130" i="2" s="1"/>
  <c r="T129" i="2"/>
  <c r="U129" i="2" s="1"/>
  <c r="J129" i="2"/>
  <c r="K129" i="2" s="1"/>
  <c r="T128" i="2"/>
  <c r="U128" i="2" s="1"/>
  <c r="J128" i="2"/>
  <c r="K128" i="2" s="1"/>
  <c r="T127" i="2"/>
  <c r="U127" i="2" s="1"/>
  <c r="J127" i="2"/>
  <c r="K127" i="2" s="1"/>
  <c r="T126" i="2"/>
  <c r="U126" i="2" s="1"/>
  <c r="J126" i="2"/>
  <c r="K126" i="2" s="1"/>
  <c r="T125" i="2"/>
  <c r="U125" i="2" s="1"/>
  <c r="J125" i="2"/>
  <c r="K125" i="2" s="1"/>
  <c r="T124" i="2"/>
  <c r="U124" i="2" s="1"/>
  <c r="J124" i="2"/>
  <c r="K124" i="2" s="1"/>
  <c r="T123" i="2"/>
  <c r="U123" i="2" s="1"/>
  <c r="J123" i="2"/>
  <c r="K123" i="2" s="1"/>
  <c r="T122" i="2"/>
  <c r="U122" i="2" s="1"/>
  <c r="J122" i="2"/>
  <c r="K122" i="2" s="1"/>
  <c r="T121" i="2"/>
  <c r="U121" i="2" s="1"/>
  <c r="J121" i="2"/>
  <c r="K121" i="2" s="1"/>
  <c r="T120" i="2"/>
  <c r="U120" i="2" s="1"/>
  <c r="J120" i="2"/>
  <c r="K120" i="2" s="1"/>
  <c r="T119" i="2"/>
  <c r="U119" i="2" s="1"/>
  <c r="J119" i="2"/>
  <c r="K119" i="2" s="1"/>
  <c r="T118" i="2"/>
  <c r="U118" i="2" s="1"/>
  <c r="J118" i="2"/>
  <c r="K118" i="2" s="1"/>
  <c r="T117" i="2"/>
  <c r="U117" i="2" s="1"/>
  <c r="J117" i="2"/>
  <c r="K117" i="2" s="1"/>
  <c r="T116" i="2"/>
  <c r="U116" i="2" s="1"/>
  <c r="J116" i="2"/>
  <c r="K116" i="2" s="1"/>
  <c r="T115" i="2"/>
  <c r="U115" i="2" s="1"/>
  <c r="J115" i="2"/>
  <c r="K115" i="2" s="1"/>
  <c r="T114" i="2"/>
  <c r="U114" i="2" s="1"/>
  <c r="J114" i="2"/>
  <c r="K114" i="2" s="1"/>
  <c r="T113" i="2"/>
  <c r="U113" i="2" s="1"/>
  <c r="J113" i="2"/>
  <c r="K113" i="2" s="1"/>
  <c r="T112" i="2"/>
  <c r="U112" i="2" s="1"/>
  <c r="J112" i="2"/>
  <c r="K112" i="2" s="1"/>
  <c r="T111" i="2"/>
  <c r="U111" i="2" s="1"/>
  <c r="J111" i="2"/>
  <c r="K111" i="2" s="1"/>
  <c r="T110" i="2"/>
  <c r="U110" i="2" s="1"/>
  <c r="J110" i="2"/>
  <c r="K110" i="2" s="1"/>
  <c r="U109" i="2"/>
  <c r="J109" i="2"/>
  <c r="K109" i="2" s="1"/>
  <c r="J108" i="2"/>
  <c r="K108" i="2" s="1"/>
  <c r="T107" i="2"/>
  <c r="U107" i="2" s="1"/>
  <c r="J107" i="2"/>
  <c r="K107" i="2" s="1"/>
  <c r="T106" i="2"/>
  <c r="U106" i="2" s="1"/>
  <c r="J106" i="2"/>
  <c r="K106" i="2" s="1"/>
  <c r="T105" i="2"/>
  <c r="U105" i="2" s="1"/>
  <c r="J105" i="2"/>
  <c r="K105" i="2" s="1"/>
  <c r="T104" i="2"/>
  <c r="U104" i="2" s="1"/>
  <c r="J104" i="2"/>
  <c r="K104" i="2" s="1"/>
  <c r="T103" i="2"/>
  <c r="U103" i="2" s="1"/>
  <c r="J103" i="2"/>
  <c r="K103" i="2" s="1"/>
  <c r="T102" i="2"/>
  <c r="U102" i="2" s="1"/>
  <c r="J102" i="2"/>
  <c r="K102" i="2" s="1"/>
  <c r="T101" i="2"/>
  <c r="U101" i="2" s="1"/>
  <c r="J101" i="2"/>
  <c r="K101" i="2" s="1"/>
  <c r="T100" i="2"/>
  <c r="U100" i="2" s="1"/>
  <c r="J100" i="2"/>
  <c r="K100" i="2" s="1"/>
  <c r="T99" i="2"/>
  <c r="U99" i="2" s="1"/>
  <c r="J99" i="2"/>
  <c r="K99" i="2" s="1"/>
  <c r="T98" i="2"/>
  <c r="U98" i="2" s="1"/>
  <c r="J98" i="2"/>
  <c r="K98" i="2" s="1"/>
  <c r="T97" i="2"/>
  <c r="U97" i="2" s="1"/>
  <c r="J97" i="2"/>
  <c r="K97" i="2" s="1"/>
  <c r="T96" i="2"/>
  <c r="U96" i="2" s="1"/>
  <c r="J96" i="2"/>
  <c r="K96" i="2" s="1"/>
  <c r="T95" i="2"/>
  <c r="U95" i="2" s="1"/>
  <c r="J95" i="2"/>
  <c r="K95" i="2" s="1"/>
  <c r="T94" i="2"/>
  <c r="U94" i="2" s="1"/>
  <c r="J94" i="2"/>
  <c r="K94" i="2" s="1"/>
  <c r="T93" i="2"/>
  <c r="U93" i="2" s="1"/>
  <c r="J93" i="2"/>
  <c r="K93" i="2" s="1"/>
  <c r="T92" i="2"/>
  <c r="U92" i="2" s="1"/>
  <c r="J92" i="2"/>
  <c r="K92" i="2" s="1"/>
  <c r="T91" i="2"/>
  <c r="U91" i="2" s="1"/>
  <c r="J91" i="2"/>
  <c r="K91" i="2" s="1"/>
  <c r="T90" i="2"/>
  <c r="U90" i="2" s="1"/>
  <c r="J90" i="2"/>
  <c r="K90" i="2" s="1"/>
  <c r="T89" i="2"/>
  <c r="U89" i="2" s="1"/>
  <c r="J89" i="2"/>
  <c r="K89" i="2" s="1"/>
  <c r="T88" i="2"/>
  <c r="U88" i="2" s="1"/>
  <c r="J88" i="2"/>
  <c r="K88" i="2" s="1"/>
  <c r="T87" i="2"/>
  <c r="U87" i="2" s="1"/>
  <c r="J87" i="2"/>
  <c r="K87" i="2" s="1"/>
  <c r="T86" i="2"/>
  <c r="U86" i="2" s="1"/>
  <c r="J86" i="2"/>
  <c r="K86" i="2" s="1"/>
  <c r="T85" i="2"/>
  <c r="U85" i="2" s="1"/>
  <c r="J85" i="2"/>
  <c r="K85" i="2" s="1"/>
  <c r="T84" i="2"/>
  <c r="U84" i="2" s="1"/>
  <c r="J84" i="2"/>
  <c r="K84" i="2" s="1"/>
  <c r="T83" i="2"/>
  <c r="U83" i="2" s="1"/>
  <c r="J83" i="2"/>
  <c r="K83" i="2" s="1"/>
  <c r="T82" i="2"/>
  <c r="U82" i="2" s="1"/>
  <c r="J82" i="2"/>
  <c r="K82" i="2" s="1"/>
  <c r="T81" i="2"/>
  <c r="U81" i="2" s="1"/>
  <c r="J81" i="2"/>
  <c r="K81" i="2" s="1"/>
  <c r="T80" i="2"/>
  <c r="U80" i="2" s="1"/>
  <c r="J80" i="2"/>
  <c r="K80" i="2" s="1"/>
  <c r="T79" i="2"/>
  <c r="U79" i="2" s="1"/>
  <c r="J79" i="2"/>
  <c r="K79" i="2" s="1"/>
  <c r="T78" i="2"/>
  <c r="U78" i="2" s="1"/>
  <c r="J78" i="2"/>
  <c r="K78" i="2" s="1"/>
  <c r="T77" i="2"/>
  <c r="U77" i="2" s="1"/>
  <c r="J77" i="2"/>
  <c r="K77" i="2" s="1"/>
  <c r="T76" i="2"/>
  <c r="U76" i="2" s="1"/>
  <c r="J76" i="2"/>
  <c r="K76" i="2" s="1"/>
  <c r="T75" i="2"/>
  <c r="U75" i="2" s="1"/>
  <c r="J75" i="2"/>
  <c r="K75" i="2" s="1"/>
  <c r="T74" i="2"/>
  <c r="U74" i="2" s="1"/>
  <c r="J74" i="2"/>
  <c r="K74" i="2" s="1"/>
  <c r="T73" i="2"/>
  <c r="U73" i="2" s="1"/>
  <c r="J73" i="2"/>
  <c r="K73" i="2" s="1"/>
  <c r="T72" i="2"/>
  <c r="U72" i="2" s="1"/>
  <c r="J72" i="2"/>
  <c r="K72" i="2" s="1"/>
  <c r="T71" i="2"/>
  <c r="U71" i="2" s="1"/>
  <c r="J71" i="2"/>
  <c r="K71" i="2" s="1"/>
  <c r="T70" i="2"/>
  <c r="U70" i="2" s="1"/>
  <c r="J70" i="2"/>
  <c r="K70" i="2" s="1"/>
  <c r="T69" i="2"/>
  <c r="U69" i="2" s="1"/>
  <c r="J69" i="2"/>
  <c r="K69" i="2" s="1"/>
  <c r="T68" i="2"/>
  <c r="U68" i="2" s="1"/>
  <c r="J68" i="2"/>
  <c r="K68" i="2" s="1"/>
  <c r="T67" i="2"/>
  <c r="U67" i="2" s="1"/>
  <c r="J67" i="2"/>
  <c r="K67" i="2" s="1"/>
  <c r="T66" i="2"/>
  <c r="U66" i="2" s="1"/>
  <c r="J66" i="2"/>
  <c r="K66" i="2" s="1"/>
  <c r="U65" i="2"/>
  <c r="K65" i="2"/>
  <c r="K41" i="2"/>
  <c r="K39" i="2"/>
  <c r="G39" i="2"/>
  <c r="L39" i="2" s="1"/>
  <c r="K38" i="2"/>
  <c r="G38" i="2"/>
  <c r="L38" i="2" s="1"/>
  <c r="K37" i="2"/>
  <c r="G37" i="2"/>
  <c r="F37" i="2" s="1"/>
  <c r="K36" i="2"/>
  <c r="G36" i="2"/>
  <c r="K35" i="2"/>
  <c r="G35" i="2"/>
  <c r="M35" i="2" s="1"/>
  <c r="K34" i="2"/>
  <c r="G34" i="2"/>
  <c r="M34" i="2" s="1"/>
  <c r="K33" i="2"/>
  <c r="G33" i="2"/>
  <c r="M33" i="2" s="1"/>
  <c r="K32" i="2"/>
  <c r="G32" i="2"/>
  <c r="M32" i="2" s="1"/>
  <c r="K31" i="2"/>
  <c r="G31" i="2"/>
  <c r="M31" i="2" s="1"/>
  <c r="K30" i="2"/>
  <c r="G30" i="2"/>
  <c r="M30" i="2" s="1"/>
  <c r="K29" i="2"/>
  <c r="G29" i="2"/>
  <c r="M29" i="2" s="1"/>
  <c r="K28" i="2"/>
  <c r="G28" i="2"/>
  <c r="M28" i="2" s="1"/>
  <c r="K27" i="2"/>
  <c r="G27" i="2"/>
  <c r="M27" i="2" s="1"/>
  <c r="K26" i="2"/>
  <c r="G26" i="2"/>
  <c r="M26" i="2" s="1"/>
  <c r="K25" i="2"/>
  <c r="G25" i="2"/>
  <c r="M25" i="2" s="1"/>
  <c r="K24" i="2"/>
  <c r="G24" i="2"/>
  <c r="M24" i="2" s="1"/>
  <c r="K23" i="2"/>
  <c r="G23" i="2"/>
  <c r="M23" i="2" s="1"/>
  <c r="K22" i="2"/>
  <c r="G22" i="2"/>
  <c r="M22" i="2" s="1"/>
  <c r="K21" i="2"/>
  <c r="G21" i="2"/>
  <c r="M21" i="2" s="1"/>
  <c r="K20" i="2"/>
  <c r="G20" i="2"/>
  <c r="K19" i="2"/>
  <c r="G19" i="2"/>
  <c r="M19" i="2" s="1"/>
  <c r="K18" i="2"/>
  <c r="G18" i="2"/>
  <c r="M18" i="2" s="1"/>
  <c r="K17" i="2"/>
  <c r="G17" i="2"/>
  <c r="M17" i="2" s="1"/>
  <c r="K16" i="2"/>
  <c r="G16" i="2"/>
  <c r="M16" i="2" s="1"/>
  <c r="K15" i="2"/>
  <c r="G15" i="2"/>
  <c r="M15" i="2" s="1"/>
  <c r="K14" i="2"/>
  <c r="G14" i="2"/>
  <c r="M14" i="2" s="1"/>
  <c r="K13" i="2"/>
  <c r="G13" i="2"/>
  <c r="M13" i="2" s="1"/>
  <c r="K12" i="2"/>
  <c r="G12" i="2"/>
  <c r="M12" i="2" s="1"/>
  <c r="K11" i="2"/>
  <c r="G11" i="2"/>
  <c r="M11" i="2" s="1"/>
  <c r="K10" i="2"/>
  <c r="G10" i="2"/>
  <c r="M10" i="2" s="1"/>
  <c r="K9" i="2"/>
  <c r="G9" i="2"/>
  <c r="M9" i="2" s="1"/>
  <c r="K8" i="2"/>
  <c r="G8" i="2"/>
  <c r="K7" i="2"/>
  <c r="G7" i="2"/>
  <c r="M7" i="2" s="1"/>
  <c r="K6" i="2"/>
  <c r="G6" i="2"/>
  <c r="M6" i="2" s="1"/>
  <c r="K5" i="2"/>
  <c r="G5" i="2"/>
  <c r="F5" i="2"/>
  <c r="F38" i="2" l="1"/>
  <c r="M37" i="2"/>
  <c r="L37" i="2"/>
  <c r="F36" i="2"/>
  <c r="M36" i="2"/>
  <c r="L36" i="2"/>
  <c r="F39" i="2"/>
  <c r="K64" i="2"/>
  <c r="L24" i="2"/>
  <c r="U64" i="2"/>
  <c r="B2" i="3" s="1"/>
  <c r="L35" i="2"/>
  <c r="F6" i="2"/>
  <c r="L30" i="2"/>
  <c r="L16" i="2"/>
  <c r="F9" i="2"/>
  <c r="F23" i="2"/>
  <c r="L50" i="2"/>
  <c r="L33" i="2"/>
  <c r="L26" i="2"/>
  <c r="L19" i="2"/>
  <c r="L12" i="2"/>
  <c r="F14" i="2"/>
  <c r="F28" i="2"/>
  <c r="F21" i="2"/>
  <c r="F7" i="2"/>
  <c r="F17" i="2"/>
  <c r="F10" i="2"/>
  <c r="F31" i="2"/>
  <c r="L34" i="2"/>
  <c r="L29" i="2"/>
  <c r="L15" i="2"/>
  <c r="F22" i="2"/>
  <c r="F8" i="2"/>
  <c r="L25" i="2"/>
  <c r="F35" i="2"/>
  <c r="F11" i="2"/>
  <c r="F32" i="2"/>
  <c r="F18" i="2"/>
  <c r="L27" i="2"/>
  <c r="L20" i="2"/>
  <c r="F30" i="2"/>
  <c r="F15" i="2"/>
  <c r="F29" i="2"/>
  <c r="F26" i="2"/>
  <c r="F16" i="2"/>
  <c r="L31" i="2"/>
  <c r="F25" i="2"/>
  <c r="L17" i="2"/>
  <c r="L13" i="2"/>
  <c r="L6" i="2"/>
  <c r="F33" i="2"/>
  <c r="F24" i="2"/>
  <c r="L23" i="2"/>
  <c r="F19" i="2"/>
  <c r="L14" i="2"/>
  <c r="F12" i="2"/>
  <c r="L11" i="2"/>
  <c r="L7" i="2"/>
  <c r="L32" i="2"/>
  <c r="L28" i="2"/>
  <c r="L22" i="2"/>
  <c r="L21" i="2"/>
  <c r="L18" i="2"/>
  <c r="K40" i="2"/>
  <c r="L41" i="2" s="1"/>
  <c r="L10" i="2"/>
  <c r="L9" i="2"/>
  <c r="F20" i="2"/>
  <c r="L8" i="2"/>
  <c r="F13" i="2"/>
  <c r="F34" i="2"/>
  <c r="F27" i="2"/>
  <c r="H54" i="2" l="1"/>
  <c r="J54" i="2" s="1"/>
  <c r="K54" i="2" s="1"/>
  <c r="H52" i="2"/>
  <c r="J52" i="2" s="1"/>
  <c r="L5" i="2"/>
  <c r="I54" i="2"/>
  <c r="M52" i="2" l="1"/>
  <c r="D2" i="3" s="1"/>
  <c r="H50" i="2"/>
  <c r="I50" i="2" s="1"/>
  <c r="M3" i="2" l="1"/>
</calcChain>
</file>

<file path=xl/comments1.xml><?xml version="1.0" encoding="utf-8"?>
<comments xmlns="http://schemas.openxmlformats.org/spreadsheetml/2006/main">
  <authors>
    <author>Kumar Kundan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No user entry required in the updated version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Requires MANUAL Entry
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Format :custom &gt; dd-mmm-yy</t>
        </r>
      </text>
    </comment>
    <comment ref="H52" authorId="0" shapeId="0">
      <text>
        <r>
          <rPr>
            <b/>
            <sz val="9"/>
            <color indexed="81"/>
            <rFont val="Tahoma"/>
            <family val="2"/>
          </rPr>
          <t>Tanvi:</t>
        </r>
        <r>
          <rPr>
            <sz val="9"/>
            <color indexed="81"/>
            <rFont val="Tahoma"/>
            <family val="2"/>
          </rPr>
          <t xml:space="preserve">
=LOOKUP(2,1/(J5:J18&lt;&gt;""),J5:J18)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65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Format : custom &gt; [h]:mm</t>
        </r>
      </text>
    </comment>
    <comment ref="A172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Please do not change text.
Please do not edit this section as this is being used in VBA</t>
        </r>
      </text>
    </comment>
    <comment ref="A173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4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A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7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Building Main Gate Exit
</t>
        </r>
      </text>
    </comment>
    <comment ref="A17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8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CT2 Basement Door
CT2 Flap Barrier near the Reception
CT2 Parking Tripode near the ATM
CT2 Terrace Tripod 1 Near Main Lift</t>
        </r>
      </text>
    </comment>
    <comment ref="A17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This cell's text is being searched in VBA</t>
        </r>
      </text>
    </comment>
    <comment ref="B179" authorId="0" shapeId="0">
      <text>
        <r>
          <rPr>
            <b/>
            <sz val="9"/>
            <color indexed="81"/>
            <rFont val="Tahoma"/>
            <family val="2"/>
          </rPr>
          <t>Kumar Kundan:</t>
        </r>
        <r>
          <rPr>
            <sz val="9"/>
            <color indexed="81"/>
            <rFont val="Tahoma"/>
            <family val="2"/>
          </rPr>
          <t xml:space="preserve">
CT1 Training Room Near Canteen
</t>
        </r>
        <r>
          <rPr>
            <i/>
            <sz val="9"/>
            <color indexed="81"/>
            <rFont val="Tahoma"/>
            <family val="2"/>
          </rPr>
          <t>CT1 7th Floor Main Entrance</t>
        </r>
        <r>
          <rPr>
            <sz val="9"/>
            <color indexed="81"/>
            <rFont val="Tahoma"/>
            <family val="2"/>
          </rPr>
          <t xml:space="preserve">
CT2 1st Floor Right Door
CT2 2nd Floor Right Door
CT2 Building 4th Floor Right Entry
CT2 Building 4th Floor Left Entry</t>
        </r>
      </text>
    </comment>
  </commentList>
</comments>
</file>

<file path=xl/sharedStrings.xml><?xml version="1.0" encoding="utf-8"?>
<sst xmlns="http://schemas.openxmlformats.org/spreadsheetml/2006/main" count="303" uniqueCount="74">
  <si>
    <t>Main Gate</t>
  </si>
  <si>
    <t>logRowNumFront</t>
  </si>
  <si>
    <t>logRowNumBU</t>
  </si>
  <si>
    <t>logColNum</t>
  </si>
  <si>
    <t>empID</t>
  </si>
  <si>
    <t>misPath</t>
  </si>
  <si>
    <t>EnterWorkGate</t>
  </si>
  <si>
    <t>swipeRowNum</t>
  </si>
  <si>
    <t>swipeColNum_yesterday</t>
  </si>
  <si>
    <t>swipeColNum_today</t>
  </si>
  <si>
    <t>User Entry</t>
  </si>
  <si>
    <t>Fixed</t>
  </si>
  <si>
    <t>Coming from VBA</t>
  </si>
  <si>
    <t>Formula</t>
  </si>
  <si>
    <t>Being Used in VBA</t>
  </si>
  <si>
    <t>EMP ID</t>
  </si>
  <si>
    <t>Date</t>
  </si>
  <si>
    <t>Day</t>
  </si>
  <si>
    <t>Total Hrs.</t>
  </si>
  <si>
    <t>Actual Hours</t>
  </si>
  <si>
    <t>COLOR CODEs Used in this XLS</t>
  </si>
  <si>
    <t>Working Hrs / day</t>
  </si>
  <si>
    <t>Total Fortnight Hours</t>
  </si>
  <si>
    <t>Remaining Hours</t>
  </si>
  <si>
    <t xml:space="preserve">EOD @ </t>
  </si>
  <si>
    <t>Before Today</t>
  </si>
  <si>
    <t>REPORT</t>
  </si>
  <si>
    <t>Hours</t>
  </si>
  <si>
    <t>Days</t>
  </si>
  <si>
    <t>TODAY</t>
  </si>
  <si>
    <t>@</t>
  </si>
  <si>
    <t>TOTAL Hours</t>
  </si>
  <si>
    <t>Being Used in Formulas, as constants</t>
  </si>
  <si>
    <t>Settings Variables - Start</t>
  </si>
  <si>
    <t>Settings Variables - End</t>
  </si>
  <si>
    <t>enterMainGate</t>
  </si>
  <si>
    <t>enterPlayGate</t>
  </si>
  <si>
    <t>Swipe - YesterDay</t>
  </si>
  <si>
    <t>Swipe - Today</t>
  </si>
  <si>
    <t>reportPage</t>
  </si>
  <si>
    <t>Password: kk</t>
  </si>
  <si>
    <t>EOD @</t>
  </si>
  <si>
    <t>Monthly</t>
  </si>
  <si>
    <t>Total Month Days</t>
  </si>
  <si>
    <t>Leave/Holiday Hours</t>
  </si>
  <si>
    <t>Entry</t>
  </si>
  <si>
    <t>Exit</t>
  </si>
  <si>
    <t>WorkGate</t>
  </si>
  <si>
    <t>PLAY</t>
  </si>
  <si>
    <t>WORK</t>
  </si>
  <si>
    <t>Monthly-&gt;</t>
  </si>
  <si>
    <t>Today -&gt;</t>
  </si>
  <si>
    <t>PlayGate</t>
  </si>
  <si>
    <t>https://cybagemis.cybage.com/Framework/Iframe.aspx</t>
  </si>
  <si>
    <t>https://cybmis-app-3-ld/Report Builder/RPTN/Reportpage.aspx</t>
  </si>
  <si>
    <t>https://cybagemis.cybage.com/Report%20Builder/RPTN/ReportPage.aspx</t>
  </si>
  <si>
    <t>Basement Door,Flap Barrier,Tripod,WA-Ground Floor Flap Barrier</t>
  </si>
  <si>
    <t>Left,Right,Fire Exit,Training,7th Floor Main Entrance,ATHENA_PROJECT,WA 4th Floor B-wing Door</t>
  </si>
  <si>
    <t xml:space="preserve">https://cybmis-app-3-ld.cybage.com/Report%20Builder/RPTN/Reportpage.aspx </t>
  </si>
  <si>
    <t>Working hours till now</t>
  </si>
  <si>
    <t>End Time</t>
  </si>
  <si>
    <t>Entry Time</t>
  </si>
  <si>
    <t>Refresh</t>
  </si>
  <si>
    <t>Remaining hour</t>
  </si>
  <si>
    <t>CT2 Building 5th Floor Left Entry</t>
  </si>
  <si>
    <t>CT Main Gate Tripod 1</t>
  </si>
  <si>
    <t>CT2 Flap Barrier near the Reception</t>
  </si>
  <si>
    <t>CT2 Building 5th Floor Right Entry</t>
  </si>
  <si>
    <t>MainGate</t>
  </si>
  <si>
    <t>CT1 Flap Barrier near the Reception</t>
  </si>
  <si>
    <t>CT1 Training Room Near Canteen</t>
  </si>
  <si>
    <t>CT1-1st Floor Right Door</t>
  </si>
  <si>
    <t>CT1 Cafetaria Tripode near the ATM</t>
  </si>
  <si>
    <t>CT2 Parking Tripode near the ATM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</si>
</sst>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dddd"/>
    <numFmt numFmtId="166" formatCode="[h]:mm;@"/>
    <numFmt numFmtId="167" formatCode="[$-F400]h:mm:ss\ AM/PM"/>
    <numFmt numFmtId="168" formatCode="hh:mm:ss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3"/>
      <color theme="1"/>
      <name val="Calibri"/>
      <family val="2"/>
      <scheme val="minor"/>
    </font>
    <font>
      <i/>
      <sz val="9"/>
      <color indexed="81"/>
      <name val="Tahoma"/>
      <family val="2"/>
    </font>
    <font>
      <strike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theme="3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9"/>
      <color theme="3" tint="-0.499984740745262"/>
      <name val="Calibri"/>
      <family val="2"/>
      <scheme val="minor"/>
    </font>
    <font>
      <sz val="11"/>
      <color rgb="FF3E4D1F"/>
      <name val="Calibri"/>
      <family val="2"/>
      <scheme val="minor"/>
    </font>
    <font>
      <b/>
      <sz val="11"/>
      <color rgb="FF3E4D1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5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rgb="FFFF0000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 style="double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medium">
        <color indexed="64"/>
      </top>
      <bottom style="medium">
        <color indexed="64"/>
      </bottom>
      <diagonal/>
    </border>
    <border>
      <left/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19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13" xfId="0" applyBorder="1"/>
    <xf numFmtId="0" fontId="1" fillId="0" borderId="5" xfId="0" applyFont="1" applyBorder="1"/>
    <xf numFmtId="0" fontId="0" fillId="0" borderId="6" xfId="0" applyBorder="1"/>
    <xf numFmtId="0" fontId="0" fillId="0" borderId="9" xfId="0" applyBorder="1"/>
    <xf numFmtId="164" fontId="0" fillId="0" borderId="10" xfId="0" applyNumberFormat="1" applyBorder="1" applyAlignment="1">
      <alignment horizontal="left"/>
    </xf>
    <xf numFmtId="164" fontId="0" fillId="6" borderId="10" xfId="0" applyNumberFormat="1" applyFill="1" applyBorder="1" applyAlignment="1">
      <alignment horizontal="left"/>
    </xf>
    <xf numFmtId="0" fontId="0" fillId="0" borderId="11" xfId="0" applyBorder="1"/>
    <xf numFmtId="0" fontId="4" fillId="0" borderId="10" xfId="1" applyBorder="1"/>
    <xf numFmtId="0" fontId="1" fillId="0" borderId="11" xfId="0" applyFont="1" applyBorder="1"/>
    <xf numFmtId="0" fontId="10" fillId="0" borderId="9" xfId="0" applyFont="1" applyBorder="1"/>
    <xf numFmtId="0" fontId="10" fillId="0" borderId="10" xfId="0" applyFont="1" applyBorder="1"/>
    <xf numFmtId="15" fontId="0" fillId="0" borderId="0" xfId="0" applyNumberFormat="1" applyFill="1" applyBorder="1"/>
    <xf numFmtId="164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20" fontId="0" fillId="0" borderId="0" xfId="0" applyNumberFormat="1"/>
    <xf numFmtId="0" fontId="0" fillId="0" borderId="0" xfId="0" applyNumberFormat="1"/>
    <xf numFmtId="0" fontId="0" fillId="0" borderId="0" xfId="0" applyBorder="1"/>
    <xf numFmtId="0" fontId="13" fillId="0" borderId="0" xfId="0" applyFont="1"/>
    <xf numFmtId="0" fontId="0" fillId="0" borderId="10" xfId="0" applyNumberFormat="1" applyBorder="1" applyAlignment="1">
      <alignment horizontal="left"/>
    </xf>
    <xf numFmtId="166" fontId="0" fillId="0" borderId="0" xfId="0" applyNumberFormat="1"/>
    <xf numFmtId="0" fontId="6" fillId="9" borderId="5" xfId="0" applyFont="1" applyFill="1" applyBorder="1"/>
    <xf numFmtId="0" fontId="0" fillId="9" borderId="3" xfId="0" applyFill="1" applyBorder="1" applyAlignment="1">
      <alignment horizontal="center" vertical="center" wrapText="1"/>
    </xf>
    <xf numFmtId="165" fontId="6" fillId="9" borderId="9" xfId="0" applyNumberFormat="1" applyFont="1" applyFill="1" applyBorder="1" applyAlignment="1">
      <alignment horizontal="right"/>
    </xf>
    <xf numFmtId="0" fontId="0" fillId="9" borderId="6" xfId="0" applyFill="1" applyBorder="1"/>
    <xf numFmtId="0" fontId="0" fillId="9" borderId="4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8" borderId="0" xfId="0" applyFill="1"/>
    <xf numFmtId="0" fontId="8" fillId="8" borderId="3" xfId="0" applyFont="1" applyFill="1" applyBorder="1"/>
    <xf numFmtId="0" fontId="8" fillId="8" borderId="7" xfId="0" applyFont="1" applyFill="1" applyBorder="1"/>
    <xf numFmtId="0" fontId="1" fillId="8" borderId="22" xfId="0" applyFont="1" applyFill="1" applyBorder="1" applyAlignment="1">
      <alignment horizontal="right"/>
    </xf>
    <xf numFmtId="0" fontId="1" fillId="8" borderId="23" xfId="0" applyFont="1" applyFill="1" applyBorder="1" applyAlignment="1">
      <alignment horizontal="right"/>
    </xf>
    <xf numFmtId="164" fontId="6" fillId="3" borderId="6" xfId="0" applyNumberFormat="1" applyFont="1" applyFill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6" fillId="3" borderId="21" xfId="0" applyNumberFormat="1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1" fillId="8" borderId="5" xfId="0" applyFont="1" applyFill="1" applyBorder="1"/>
    <xf numFmtId="0" fontId="5" fillId="8" borderId="8" xfId="0" applyFont="1" applyFill="1" applyBorder="1"/>
    <xf numFmtId="0" fontId="0" fillId="8" borderId="8" xfId="0" applyFill="1" applyBorder="1"/>
    <xf numFmtId="0" fontId="14" fillId="10" borderId="9" xfId="0" applyFont="1" applyFill="1" applyBorder="1"/>
    <xf numFmtId="15" fontId="14" fillId="10" borderId="0" xfId="0" applyNumberFormat="1" applyFont="1" applyFill="1" applyBorder="1"/>
    <xf numFmtId="0" fontId="14" fillId="10" borderId="0" xfId="0" applyFont="1" applyFill="1" applyBorder="1"/>
    <xf numFmtId="19" fontId="17" fillId="10" borderId="0" xfId="0" applyNumberFormat="1" applyFont="1" applyFill="1" applyBorder="1"/>
    <xf numFmtId="0" fontId="17" fillId="10" borderId="0" xfId="0" applyFont="1" applyFill="1" applyBorder="1"/>
    <xf numFmtId="19" fontId="14" fillId="10" borderId="0" xfId="0" applyNumberFormat="1" applyFont="1" applyFill="1" applyBorder="1"/>
    <xf numFmtId="0" fontId="14" fillId="10" borderId="11" xfId="0" applyFont="1" applyFill="1" applyBorder="1"/>
    <xf numFmtId="0" fontId="14" fillId="10" borderId="12" xfId="0" applyFont="1" applyFill="1" applyBorder="1"/>
    <xf numFmtId="0" fontId="17" fillId="10" borderId="12" xfId="0" applyFont="1" applyFill="1" applyBorder="1"/>
    <xf numFmtId="15" fontId="17" fillId="10" borderId="0" xfId="0" applyNumberFormat="1" applyFont="1" applyFill="1" applyBorder="1"/>
    <xf numFmtId="21" fontId="18" fillId="11" borderId="0" xfId="0" applyNumberFormat="1" applyFont="1" applyFill="1" applyBorder="1"/>
    <xf numFmtId="21" fontId="18" fillId="11" borderId="10" xfId="0" applyNumberFormat="1" applyFont="1" applyFill="1" applyBorder="1"/>
    <xf numFmtId="0" fontId="18" fillId="11" borderId="0" xfId="0" applyFont="1" applyFill="1" applyBorder="1"/>
    <xf numFmtId="164" fontId="19" fillId="11" borderId="6" xfId="0" applyNumberFormat="1" applyFont="1" applyFill="1" applyBorder="1"/>
    <xf numFmtId="167" fontId="14" fillId="10" borderId="0" xfId="0" applyNumberFormat="1" applyFont="1" applyFill="1" applyBorder="1"/>
    <xf numFmtId="15" fontId="14" fillId="7" borderId="14" xfId="0" applyNumberFormat="1" applyFont="1" applyFill="1" applyBorder="1"/>
    <xf numFmtId="15" fontId="14" fillId="7" borderId="1" xfId="0" applyNumberFormat="1" applyFont="1" applyFill="1" applyBorder="1"/>
    <xf numFmtId="15" fontId="14" fillId="7" borderId="9" xfId="0" applyNumberFormat="1" applyFont="1" applyFill="1" applyBorder="1"/>
    <xf numFmtId="15" fontId="14" fillId="7" borderId="11" xfId="0" applyNumberFormat="1" applyFont="1" applyFill="1" applyBorder="1"/>
    <xf numFmtId="164" fontId="14" fillId="7" borderId="0" xfId="0" applyNumberFormat="1" applyFont="1" applyFill="1" applyBorder="1" applyAlignment="1">
      <alignment horizontal="center"/>
    </xf>
    <xf numFmtId="164" fontId="14" fillId="7" borderId="9" xfId="0" applyNumberFormat="1" applyFont="1" applyFill="1" applyBorder="1" applyAlignment="1">
      <alignment horizontal="center"/>
    </xf>
    <xf numFmtId="164" fontId="16" fillId="7" borderId="9" xfId="0" applyNumberFormat="1" applyFont="1" applyFill="1" applyBorder="1" applyAlignment="1">
      <alignment horizontal="center"/>
    </xf>
    <xf numFmtId="164" fontId="14" fillId="7" borderId="11" xfId="0" applyNumberFormat="1" applyFont="1" applyFill="1" applyBorder="1" applyAlignment="1">
      <alignment horizontal="center"/>
    </xf>
    <xf numFmtId="168" fontId="0" fillId="0" borderId="0" xfId="0" applyNumberFormat="1"/>
    <xf numFmtId="0" fontId="0" fillId="12" borderId="0" xfId="0" applyFill="1"/>
    <xf numFmtId="0" fontId="0" fillId="12" borderId="17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0" fillId="12" borderId="14" xfId="0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0" fillId="12" borderId="18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164" fontId="1" fillId="12" borderId="0" xfId="0" applyNumberFormat="1" applyFont="1" applyFill="1" applyBorder="1"/>
    <xf numFmtId="0" fontId="0" fillId="12" borderId="10" xfId="0" applyFill="1" applyBorder="1"/>
    <xf numFmtId="0" fontId="15" fillId="12" borderId="0" xfId="0" applyFont="1" applyFill="1"/>
    <xf numFmtId="0" fontId="0" fillId="12" borderId="1" xfId="0" applyFill="1" applyBorder="1"/>
    <xf numFmtId="0" fontId="0" fillId="12" borderId="26" xfId="0" applyFill="1" applyBorder="1"/>
    <xf numFmtId="0" fontId="0" fillId="12" borderId="15" xfId="0" applyFill="1" applyBorder="1"/>
    <xf numFmtId="0" fontId="0" fillId="12" borderId="0" xfId="0" applyFill="1" applyBorder="1"/>
    <xf numFmtId="0" fontId="8" fillId="12" borderId="7" xfId="0" applyFont="1" applyFill="1" applyBorder="1"/>
    <xf numFmtId="164" fontId="12" fillId="12" borderId="28" xfId="0" applyNumberFormat="1" applyFont="1" applyFill="1" applyBorder="1"/>
    <xf numFmtId="0" fontId="8" fillId="12" borderId="17" xfId="0" applyFont="1" applyFill="1" applyBorder="1"/>
    <xf numFmtId="164" fontId="12" fillId="12" borderId="7" xfId="0" applyNumberFormat="1" applyFont="1" applyFill="1" applyBorder="1"/>
    <xf numFmtId="0" fontId="8" fillId="12" borderId="4" xfId="0" applyFont="1" applyFill="1" applyBorder="1"/>
    <xf numFmtId="164" fontId="1" fillId="12" borderId="15" xfId="0" applyNumberFormat="1" applyFont="1" applyFill="1" applyBorder="1"/>
    <xf numFmtId="164" fontId="1" fillId="12" borderId="10" xfId="0" applyNumberFormat="1" applyFont="1" applyFill="1" applyBorder="1"/>
    <xf numFmtId="0" fontId="0" fillId="12" borderId="2" xfId="0" applyFill="1" applyBorder="1"/>
    <xf numFmtId="0" fontId="0" fillId="12" borderId="12" xfId="0" applyFill="1" applyBorder="1"/>
    <xf numFmtId="0" fontId="0" fillId="12" borderId="19" xfId="0" applyFill="1" applyBorder="1"/>
    <xf numFmtId="0" fontId="0" fillId="12" borderId="13" xfId="0" applyFill="1" applyBorder="1"/>
    <xf numFmtId="0" fontId="1" fillId="12" borderId="16" xfId="0" applyFont="1" applyFill="1" applyBorder="1" applyAlignment="1">
      <alignment horizontal="center" vertical="center" wrapText="1"/>
    </xf>
    <xf numFmtId="0" fontId="1" fillId="12" borderId="7" xfId="0" applyFont="1" applyFill="1" applyBorder="1" applyAlignment="1">
      <alignment horizontal="center" vertical="center" wrapText="1"/>
    </xf>
    <xf numFmtId="0" fontId="20" fillId="12" borderId="1" xfId="0" applyFont="1" applyFill="1" applyBorder="1"/>
    <xf numFmtId="0" fontId="21" fillId="12" borderId="27" xfId="0" applyFont="1" applyFill="1" applyBorder="1"/>
    <xf numFmtId="0" fontId="1" fillId="12" borderId="1" xfId="0" applyFont="1" applyFill="1" applyBorder="1"/>
    <xf numFmtId="164" fontId="5" fillId="12" borderId="30" xfId="0" applyNumberFormat="1" applyFont="1" applyFill="1" applyBorder="1"/>
    <xf numFmtId="0" fontId="0" fillId="12" borderId="31" xfId="0" applyFill="1" applyBorder="1"/>
    <xf numFmtId="2" fontId="0" fillId="0" borderId="0" xfId="0" applyNumberFormat="1" applyAlignment="1">
      <alignment horizontal="center"/>
    </xf>
    <xf numFmtId="0" fontId="4" fillId="0" borderId="0" xfId="1"/>
    <xf numFmtId="164" fontId="7" fillId="0" borderId="0" xfId="0" applyNumberFormat="1" applyFont="1" applyBorder="1" applyAlignment="1">
      <alignment horizontal="center"/>
    </xf>
    <xf numFmtId="0" fontId="22" fillId="0" borderId="0" xfId="0" applyFont="1"/>
    <xf numFmtId="0" fontId="23" fillId="4" borderId="0" xfId="0" applyFont="1" applyFill="1"/>
    <xf numFmtId="0" fontId="23" fillId="2" borderId="0" xfId="0" applyFont="1" applyFill="1"/>
    <xf numFmtId="0" fontId="23" fillId="3" borderId="0" xfId="0" applyFont="1" applyFill="1"/>
    <xf numFmtId="0" fontId="23" fillId="6" borderId="0" xfId="0" applyFont="1" applyFill="1"/>
    <xf numFmtId="0" fontId="23" fillId="5" borderId="0" xfId="0" applyFont="1" applyFill="1"/>
    <xf numFmtId="0" fontId="23" fillId="0" borderId="0" xfId="0" applyFont="1"/>
    <xf numFmtId="2" fontId="23" fillId="0" borderId="0" xfId="0" applyNumberFormat="1" applyFont="1" applyAlignment="1">
      <alignment horizontal="center"/>
    </xf>
    <xf numFmtId="164" fontId="1" fillId="4" borderId="0" xfId="0" applyNumberFormat="1" applyFont="1" applyFill="1" applyBorder="1"/>
    <xf numFmtId="0" fontId="1" fillId="4" borderId="1" xfId="0" applyFont="1" applyFill="1" applyBorder="1"/>
    <xf numFmtId="164" fontId="23" fillId="0" borderId="0" xfId="0" applyNumberFormat="1" applyFont="1"/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18" fontId="11" fillId="6" borderId="7" xfId="0" applyNumberFormat="1" applyFont="1" applyFill="1" applyBorder="1"/>
    <xf numFmtId="0" fontId="25" fillId="6" borderId="7" xfId="0" applyFont="1" applyFill="1" applyBorder="1" applyAlignment="1">
      <alignment horizontal="right"/>
    </xf>
    <xf numFmtId="0" fontId="24" fillId="0" borderId="3" xfId="0" applyFont="1" applyBorder="1"/>
    <xf numFmtId="167" fontId="24" fillId="6" borderId="4" xfId="0" applyNumberFormat="1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 wrapText="1"/>
    </xf>
    <xf numFmtId="15" fontId="14" fillId="10" borderId="12" xfId="0" applyNumberFormat="1" applyFont="1" applyFill="1" applyBorder="1"/>
    <xf numFmtId="19" fontId="14" fillId="10" borderId="12" xfId="0" applyNumberFormat="1" applyFont="1" applyFill="1" applyBorder="1"/>
    <xf numFmtId="15" fontId="0" fillId="0" borderId="0" xfId="0" applyNumberFormat="1"/>
    <xf numFmtId="164" fontId="12" fillId="3" borderId="25" xfId="0" applyNumberFormat="1" applyFont="1" applyFill="1" applyBorder="1" applyAlignment="1">
      <alignment horizontal="center"/>
    </xf>
    <xf numFmtId="19" fontId="17" fillId="10" borderId="12" xfId="0" applyNumberFormat="1" applyFont="1" applyFill="1" applyBorder="1"/>
    <xf numFmtId="15" fontId="14" fillId="7" borderId="32" xfId="0" applyNumberFormat="1" applyFont="1" applyFill="1" applyBorder="1"/>
    <xf numFmtId="167" fontId="16" fillId="10" borderId="0" xfId="0" applyNumberFormat="1" applyFont="1" applyFill="1" applyBorder="1"/>
    <xf numFmtId="0" fontId="26" fillId="0" borderId="0" xfId="0" applyFont="1"/>
    <xf numFmtId="164" fontId="14" fillId="7" borderId="5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28" fillId="0" borderId="0" xfId="0" applyNumberFormat="1" applyFont="1" applyAlignment="1">
      <alignment horizontal="center"/>
    </xf>
    <xf numFmtId="18" fontId="28" fillId="13" borderId="0" xfId="0" applyNumberFormat="1" applyFont="1" applyFill="1"/>
    <xf numFmtId="164" fontId="28" fillId="13" borderId="29" xfId="0" applyNumberFormat="1" applyFont="1" applyFill="1" applyBorder="1"/>
    <xf numFmtId="166" fontId="29" fillId="4" borderId="4" xfId="0" applyNumberFormat="1" applyFont="1" applyFill="1" applyBorder="1" applyAlignment="1">
      <alignment horizontal="center" vertical="center"/>
    </xf>
    <xf numFmtId="0" fontId="30" fillId="0" borderId="0" xfId="0" applyFont="1"/>
  </cellXfs>
  <cellStyles count="2">
    <cellStyle name="Hyperlink" xfId="1" builtinId="8"/>
    <cellStyle name="Normal" xfId="0" builtinId="0"/>
  </cellStyles>
  <dxfs count="8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</dxfs>
  <tableStyles count="0" defaultTableStyle="TableStyleMedium2" defaultPivotStyle="PivotStyleMedium9"/>
  <colors>
    <mruColors>
      <color rgb="FF3E4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133353</xdr:colOff>
      <xdr:row>21</xdr:row>
      <xdr:rowOff>92529</xdr:rowOff>
    </xdr:from>
    <xdr:to>
      <xdr:col>14</xdr:col>
      <xdr:colOff>880385</xdr:colOff>
      <xdr:row>23</xdr:row>
      <xdr:rowOff>130629</xdr:rowOff>
    </xdr:to>
    <xdr:pic macro="[0]!Sheet2.Today_Click">
      <xdr:nvPicPr>
        <xdr:cNvPr id="8" name="Toda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5103" y="4324350"/>
          <a:ext cx="747032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146959</xdr:colOff>
      <xdr:row>18</xdr:row>
      <xdr:rowOff>57151</xdr:rowOff>
    </xdr:from>
    <xdr:to>
      <xdr:col>14</xdr:col>
      <xdr:colOff>900795</xdr:colOff>
      <xdr:row>20</xdr:row>
      <xdr:rowOff>103415</xdr:rowOff>
    </xdr:to>
    <xdr:pic macro="[0]!Sheet2.Yesterday_Click">
      <xdr:nvPicPr>
        <xdr:cNvPr id="9" name="Yesterda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8709" y="3717472"/>
          <a:ext cx="753836" cy="4272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658585</xdr:colOff>
      <xdr:row>24</xdr:row>
      <xdr:rowOff>138794</xdr:rowOff>
    </xdr:from>
    <xdr:to>
      <xdr:col>14</xdr:col>
      <xdr:colOff>1306286</xdr:colOff>
      <xdr:row>29</xdr:row>
      <xdr:rowOff>54429</xdr:rowOff>
    </xdr:to>
    <xdr:pic macro="[0]!Sheet2.RefreshReport_Click">
      <xdr:nvPicPr>
        <xdr:cNvPr id="10" name="RefreshRepo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299" y="5105401"/>
          <a:ext cx="1885951" cy="86813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254933</xdr:colOff>
      <xdr:row>11</xdr:row>
      <xdr:rowOff>103655</xdr:rowOff>
    </xdr:from>
    <xdr:to>
      <xdr:col>14</xdr:col>
      <xdr:colOff>856366</xdr:colOff>
      <xdr:row>17</xdr:row>
      <xdr:rowOff>122705</xdr:rowOff>
    </xdr:to>
    <xdr:sp macro="" textlink="">
      <xdr:nvSpPr>
        <xdr:cNvPr id="2072" name="AutoShape 24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6077639" y="2591361"/>
          <a:ext cx="1845286" cy="116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272143</xdr:colOff>
      <xdr:row>11</xdr:row>
      <xdr:rowOff>40822</xdr:rowOff>
    </xdr:from>
    <xdr:to>
      <xdr:col>14</xdr:col>
      <xdr:colOff>1333500</xdr:colOff>
      <xdr:row>17</xdr:row>
      <xdr:rowOff>66675</xdr:rowOff>
    </xdr:to>
    <xdr:grpSp>
      <xdr:nvGrpSpPr>
        <xdr:cNvPr id="2074" name="Group 26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GrpSpPr>
          <a:grpSpLocks noChangeAspect="1"/>
        </xdr:cNvGrpSpPr>
      </xdr:nvGrpSpPr>
      <xdr:grpSpPr bwMode="auto">
        <a:xfrm>
          <a:off x="16110857" y="2530929"/>
          <a:ext cx="2299607" cy="1168853"/>
          <a:chOff x="804" y="248"/>
          <a:chExt cx="794" cy="122"/>
        </a:xfrm>
      </xdr:grpSpPr>
      <xdr:sp macro="" textlink="">
        <xdr:nvSpPr>
          <xdr:cNvPr id="2073" name="AutoShape 25">
            <a:extLst>
              <a:ext uri="{FF2B5EF4-FFF2-40B4-BE49-F238E27FC236}">
                <a16:creationId xmlns:a16="http://schemas.microsoft.com/office/drawing/2014/main" id="{00000000-0008-0000-0000-00001908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05" y="248"/>
            <a:ext cx="193" cy="1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5" name="Rectangle 27">
            <a:extLst>
              <a:ext uri="{FF2B5EF4-FFF2-40B4-BE49-F238E27FC236}">
                <a16:creationId xmlns:a16="http://schemas.microsoft.com/office/drawing/2014/main" id="{00000000-0008-0000-0000-00001B080000}"/>
              </a:ext>
            </a:extLst>
          </xdr:cNvPr>
          <xdr:cNvSpPr>
            <a:spLocks noChangeArrowheads="1"/>
          </xdr:cNvSpPr>
        </xdr:nvSpPr>
        <xdr:spPr bwMode="auto">
          <a:xfrm>
            <a:off x="996" y="248"/>
            <a:ext cx="602" cy="122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6" name="Rectangle 28">
            <a:extLst>
              <a:ext uri="{FF2B5EF4-FFF2-40B4-BE49-F238E27FC236}">
                <a16:creationId xmlns:a16="http://schemas.microsoft.com/office/drawing/2014/main" id="{00000000-0008-0000-0000-00001C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369"/>
            <a:ext cx="793" cy="1"/>
          </a:xfrm>
          <a:prstGeom prst="rect">
            <a:avLst/>
          </a:prstGeom>
          <a:solidFill>
            <a:srgbClr val="69696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7" name="Rectangle 29">
            <a:extLst>
              <a:ext uri="{FF2B5EF4-FFF2-40B4-BE49-F238E27FC236}">
                <a16:creationId xmlns:a16="http://schemas.microsoft.com/office/drawing/2014/main" id="{00000000-0008-0000-0000-00001D080000}"/>
              </a:ext>
            </a:extLst>
          </xdr:cNvPr>
          <xdr:cNvSpPr>
            <a:spLocks noChangeArrowheads="1"/>
          </xdr:cNvSpPr>
        </xdr:nvSpPr>
        <xdr:spPr bwMode="auto">
          <a:xfrm>
            <a:off x="804" y="248"/>
            <a:ext cx="602" cy="12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8" name="Rectangle 30">
            <a:extLst>
              <a:ext uri="{FF2B5EF4-FFF2-40B4-BE49-F238E27FC236}">
                <a16:creationId xmlns:a16="http://schemas.microsoft.com/office/drawing/2014/main" id="{00000000-0008-0000-0000-00001E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8"/>
            <a:ext cx="792" cy="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79" name="Rectangle 31">
            <a:extLst>
              <a:ext uri="{FF2B5EF4-FFF2-40B4-BE49-F238E27FC236}">
                <a16:creationId xmlns:a16="http://schemas.microsoft.com/office/drawing/2014/main" id="{00000000-0008-0000-0000-00001F080000}"/>
              </a:ext>
            </a:extLst>
          </xdr:cNvPr>
          <xdr:cNvSpPr>
            <a:spLocks noChangeArrowheads="1"/>
          </xdr:cNvSpPr>
        </xdr:nvSpPr>
        <xdr:spPr bwMode="auto">
          <a:xfrm>
            <a:off x="995" y="249"/>
            <a:ext cx="602" cy="120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0" name="Rectangle 32">
            <a:extLst>
              <a:ext uri="{FF2B5EF4-FFF2-40B4-BE49-F238E27FC236}">
                <a16:creationId xmlns:a16="http://schemas.microsoft.com/office/drawing/2014/main" id="{00000000-0008-0000-0000-000020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368"/>
            <a:ext cx="791" cy="1"/>
          </a:xfrm>
          <a:prstGeom prst="rect">
            <a:avLst/>
          </a:prstGeom>
          <a:solidFill>
            <a:srgbClr val="A0A0A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1" name="Rectangle 33">
            <a:extLst>
              <a:ext uri="{FF2B5EF4-FFF2-40B4-BE49-F238E27FC236}">
                <a16:creationId xmlns:a16="http://schemas.microsoft.com/office/drawing/2014/main" id="{00000000-0008-0000-0000-000021080000}"/>
              </a:ext>
            </a:extLst>
          </xdr:cNvPr>
          <xdr:cNvSpPr>
            <a:spLocks noChangeArrowheads="1"/>
          </xdr:cNvSpPr>
        </xdr:nvSpPr>
        <xdr:spPr bwMode="auto">
          <a:xfrm>
            <a:off x="805" y="249"/>
            <a:ext cx="602" cy="119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2" name="Rectangle 34">
            <a:extLst>
              <a:ext uri="{FF2B5EF4-FFF2-40B4-BE49-F238E27FC236}">
                <a16:creationId xmlns:a16="http://schemas.microsoft.com/office/drawing/2014/main" id="{00000000-0008-0000-0000-000022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49"/>
            <a:ext cx="790" cy="1"/>
          </a:xfrm>
          <a:prstGeom prst="rect">
            <a:avLst/>
          </a:prstGeom>
          <a:solidFill>
            <a:srgbClr val="E3E3E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083" name="Rectangle 35">
            <a:extLst>
              <a:ext uri="{FF2B5EF4-FFF2-40B4-BE49-F238E27FC236}">
                <a16:creationId xmlns:a16="http://schemas.microsoft.com/office/drawing/2014/main" id="{00000000-0008-0000-0000-00002308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250"/>
            <a:ext cx="790" cy="118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4" name="Rectangle 36">
            <a:extLst>
              <a:ext uri="{FF2B5EF4-FFF2-40B4-BE49-F238E27FC236}">
                <a16:creationId xmlns:a16="http://schemas.microsoft.com/office/drawing/2014/main" id="{00000000-0008-0000-0000-000024080000}"/>
              </a:ext>
            </a:extLst>
          </xdr:cNvPr>
          <xdr:cNvSpPr>
            <a:spLocks noChangeArrowheads="1"/>
          </xdr:cNvSpPr>
        </xdr:nvSpPr>
        <xdr:spPr bwMode="auto">
          <a:xfrm>
            <a:off x="807" y="251"/>
            <a:ext cx="788" cy="116"/>
          </a:xfrm>
          <a:prstGeom prst="rect">
            <a:avLst/>
          </a:prstGeom>
          <a:solidFill>
            <a:srgbClr val="F0F0F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[0]!Sheet2.StartCat_Click" textlink="">
        <xdr:nvSpPr>
          <xdr:cNvPr id="2085" name="Rectangle 37">
            <a:extLst>
              <a:ext uri="{FF2B5EF4-FFF2-40B4-BE49-F238E27FC236}">
                <a16:creationId xmlns:a16="http://schemas.microsoft.com/office/drawing/2014/main" id="{00000000-0008-0000-0000-000025080000}"/>
              </a:ext>
            </a:extLst>
          </xdr:cNvPr>
          <xdr:cNvSpPr>
            <a:spLocks noChangeArrowheads="1"/>
          </xdr:cNvSpPr>
        </xdr:nvSpPr>
        <xdr:spPr bwMode="auto">
          <a:xfrm>
            <a:off x="858" y="293"/>
            <a:ext cx="185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Start Calculation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</xdr:row>
          <xdr:rowOff>19050</xdr:rowOff>
        </xdr:from>
        <xdr:to>
          <xdr:col>2</xdr:col>
          <xdr:colOff>904875</xdr:colOff>
          <xdr:row>1</xdr:row>
          <xdr:rowOff>428625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cybagemis.cybage.com/Report%20Builder/RPTN/ReportPage.aspx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cybmis-app-3-ld/Report%20Builder/RPTN/Reportpage.aspx" TargetMode="External"/><Relationship Id="rId1" Type="http://schemas.openxmlformats.org/officeDocument/2006/relationships/hyperlink" Target="https://cybagemis.cybage.com/Framework/Iframe.aspx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cybagemis.cybage.com/Report%20Builder/RPTN/ReportPage.asp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90"/>
  <sheetViews>
    <sheetView showGridLines="0" tabSelected="1" zoomScale="70" zoomScaleNormal="70" workbookViewId="0">
      <selection activeCell="O9" sqref="O9"/>
    </sheetView>
  </sheetViews>
  <sheetFormatPr defaultRowHeight="15" x14ac:dyDescent="0.25"/>
  <cols>
    <col min="1" max="1" width="32.140625" customWidth="1"/>
    <col min="2" max="2" width="13.7109375" customWidth="1"/>
    <col min="3" max="3" width="11" customWidth="1"/>
    <col min="4" max="4" width="12.42578125" customWidth="1"/>
    <col min="5" max="5" width="25.85546875" customWidth="1"/>
    <col min="6" max="6" width="9.7109375" customWidth="1"/>
    <col min="7" max="7" width="17.140625" customWidth="1"/>
    <col min="8" max="8" width="18.7109375" customWidth="1"/>
    <col min="9" max="9" width="13.42578125" bestFit="1" customWidth="1"/>
    <col min="10" max="10" width="19.140625" customWidth="1"/>
    <col min="11" max="11" width="20" bestFit="1" customWidth="1"/>
    <col min="12" max="12" width="18.85546875" bestFit="1" customWidth="1"/>
    <col min="13" max="13" width="25.140625" customWidth="1"/>
    <col min="14" max="14" width="18.5703125" customWidth="1"/>
    <col min="15" max="15" width="32.85546875" bestFit="1" customWidth="1"/>
    <col min="16" max="16" width="9.5703125" bestFit="1" customWidth="1"/>
    <col min="17" max="17" width="16.85546875" bestFit="1" customWidth="1"/>
    <col min="18" max="18" width="13.7109375" customWidth="1"/>
    <col min="19" max="19" width="8.85546875" customWidth="1"/>
    <col min="20" max="20" width="15.7109375" customWidth="1"/>
    <col min="22" max="22" width="18.140625" customWidth="1"/>
    <col min="29" max="29" width="9.140625" customWidth="1"/>
  </cols>
  <sheetData>
    <row r="1" spans="1:25" x14ac:dyDescent="0.25">
      <c r="A1" s="104" t="s">
        <v>20</v>
      </c>
      <c r="M1" s="17"/>
      <c r="Q1" s="1"/>
      <c r="Y1" s="1"/>
    </row>
    <row r="2" spans="1:25" ht="15.75" thickBot="1" x14ac:dyDescent="0.3">
      <c r="A2" s="105" t="s">
        <v>10</v>
      </c>
      <c r="L2" s="114">
        <f>SUM(I5:I34)-COUNTIF(I5:I34,"&gt;0")*B165</f>
        <v>0</v>
      </c>
    </row>
    <row r="3" spans="1:25" ht="29.25" thickBot="1" x14ac:dyDescent="0.5">
      <c r="A3" s="106" t="s">
        <v>11</v>
      </c>
      <c r="E3" s="103"/>
      <c r="G3" s="26" t="s">
        <v>15</v>
      </c>
      <c r="H3" s="29">
        <v>28906</v>
      </c>
      <c r="I3" s="29">
        <v>28906</v>
      </c>
      <c r="J3" s="119" t="s">
        <v>50</v>
      </c>
      <c r="K3" s="136">
        <f>ABS(L2)</f>
        <v>0</v>
      </c>
      <c r="L3" s="119" t="s">
        <v>51</v>
      </c>
      <c r="M3" s="120">
        <f ca="1">M52</f>
        <v>45383.841543287039</v>
      </c>
    </row>
    <row r="4" spans="1:25" ht="30.75" thickBot="1" x14ac:dyDescent="0.3">
      <c r="A4" s="107" t="s">
        <v>12</v>
      </c>
      <c r="E4" s="103"/>
      <c r="F4" s="22"/>
      <c r="G4" s="27" t="s">
        <v>17</v>
      </c>
      <c r="H4" s="30" t="s">
        <v>16</v>
      </c>
      <c r="I4" s="31" t="s">
        <v>19</v>
      </c>
      <c r="J4" s="31" t="s">
        <v>44</v>
      </c>
      <c r="K4" s="121" t="s">
        <v>18</v>
      </c>
      <c r="L4" s="19"/>
      <c r="M4" s="129"/>
      <c r="O4" s="20"/>
      <c r="Q4" s="21"/>
    </row>
    <row r="5" spans="1:25" x14ac:dyDescent="0.25">
      <c r="A5" s="108" t="s">
        <v>13</v>
      </c>
      <c r="E5" s="20"/>
      <c r="F5" s="21" t="str">
        <f>TEXT("Week 1","@")</f>
        <v>Week 1</v>
      </c>
      <c r="G5" s="28">
        <f>IF(H5="","",WEEKDAY((H5)))</f>
        <v>2</v>
      </c>
      <c r="H5" s="59">
        <v>45383</v>
      </c>
      <c r="I5" s="130"/>
      <c r="J5" s="103"/>
      <c r="K5" s="37" t="str">
        <f t="shared" ref="K5:K18" si="0">IF(I5 &lt;&gt; "", I5+J5, IF(J5 &lt;&gt; "", I5+J5, ""))</f>
        <v/>
      </c>
      <c r="L5" s="25">
        <f>SUMIF(H5:H39,"&lt;  " &amp;VLOOKUP("Week 2",$F$5:$I$39,3,FALSE),K5:K39)</f>
        <v>0</v>
      </c>
      <c r="M5" s="111" t="str">
        <f>IFERROR(IF(I5&lt;&gt;0,HOUR(I5) + VLOOKUP(MINUTE(I5),#REF!,3,FALSE),""),"")</f>
        <v/>
      </c>
    </row>
    <row r="6" spans="1:25" x14ac:dyDescent="0.25">
      <c r="A6" s="109" t="s">
        <v>14</v>
      </c>
      <c r="E6" s="20"/>
      <c r="F6" s="21" t="str">
        <f>IF(G6=1,"Week " &amp;COUNTIF($G$6:$G6,1) + 1,"")</f>
        <v/>
      </c>
      <c r="G6" s="28">
        <f t="shared" ref="G6:G39" si="1">IF(H6="","",WEEKDAY((H6)))</f>
        <v>3</v>
      </c>
      <c r="H6" s="60">
        <v>45384</v>
      </c>
      <c r="I6" s="64"/>
      <c r="J6" s="103"/>
      <c r="K6" s="38" t="str">
        <f>IF(I6 &lt;&gt; "", I6+J6, IF(J6 &lt;&gt; "", I6+J6, ""))</f>
        <v/>
      </c>
      <c r="L6" s="25" t="str">
        <f>IFERROR(IF(SEARCH(1,G6,1)=1,SUM(K6:K12),""),"")</f>
        <v/>
      </c>
      <c r="M6" s="116" t="str">
        <f t="shared" ref="M6:M7" si="2">IFERROR(IF(SEARCH(1,G6,1)=1,$B$165*5,""),"")</f>
        <v/>
      </c>
    </row>
    <row r="7" spans="1:25" x14ac:dyDescent="0.25">
      <c r="A7" s="110" t="s">
        <v>40</v>
      </c>
      <c r="E7" s="20"/>
      <c r="F7" s="21" t="str">
        <f>IF(G7=1,"Week " &amp;COUNTIF($G$6:$G7,1) + 1,"")</f>
        <v/>
      </c>
      <c r="G7" s="28">
        <f t="shared" si="1"/>
        <v>4</v>
      </c>
      <c r="H7" s="60">
        <v>45385</v>
      </c>
      <c r="I7" s="63"/>
      <c r="J7" s="103"/>
      <c r="K7" s="38" t="str">
        <f t="shared" si="0"/>
        <v/>
      </c>
      <c r="L7" s="25" t="str">
        <f t="shared" ref="L7:L33" si="3">IFERROR(IF(SEARCH(1,G7,1)=1,SUM(K7:K13),""),"")</f>
        <v/>
      </c>
      <c r="M7" s="116" t="str">
        <f t="shared" si="2"/>
        <v/>
      </c>
    </row>
    <row r="8" spans="1:25" x14ac:dyDescent="0.25">
      <c r="E8" s="20"/>
      <c r="F8" s="21" t="str">
        <f>IF(G8=1,"Week " &amp;COUNTIF($G$6:$G8,1) + 1,"")</f>
        <v/>
      </c>
      <c r="G8" s="28">
        <f t="shared" si="1"/>
        <v>5</v>
      </c>
      <c r="H8" s="60">
        <v>45386</v>
      </c>
      <c r="I8" s="63"/>
      <c r="J8" s="103"/>
      <c r="K8" s="38" t="str">
        <f t="shared" si="0"/>
        <v/>
      </c>
      <c r="L8" s="25" t="str">
        <f>IFERROR(IF(SEARCH(1,G8,1)=1,SUM(K8:K14),""),"")</f>
        <v/>
      </c>
      <c r="M8" s="116">
        <v>1.6666666666666667</v>
      </c>
    </row>
    <row r="9" spans="1:25" x14ac:dyDescent="0.25">
      <c r="E9" s="20"/>
      <c r="F9" s="21" t="str">
        <f>IF(G9=1,"Week " &amp;COUNTIF($G$6:$G9,1) + 1,"")</f>
        <v/>
      </c>
      <c r="G9" s="28">
        <f t="shared" si="1"/>
        <v>6</v>
      </c>
      <c r="H9" s="60">
        <v>45387</v>
      </c>
      <c r="I9" s="63"/>
      <c r="J9" s="103"/>
      <c r="K9" s="38" t="str">
        <f t="shared" si="0"/>
        <v/>
      </c>
      <c r="L9" s="25" t="str">
        <f t="shared" si="3"/>
        <v/>
      </c>
      <c r="M9" s="116" t="str">
        <f t="shared" ref="M9:M37" si="4">IFERROR(IF(SEARCH(1,G9,1)=1,$B$165*5,""),"")</f>
        <v/>
      </c>
    </row>
    <row r="10" spans="1:25" x14ac:dyDescent="0.25">
      <c r="E10" s="20"/>
      <c r="F10" s="21" t="str">
        <f>IF(G10=1,"Week " &amp;COUNTIF($G$6:$G10,1) + 1,"")</f>
        <v/>
      </c>
      <c r="G10" s="28">
        <f t="shared" si="1"/>
        <v>7</v>
      </c>
      <c r="H10" s="60">
        <v>45388</v>
      </c>
      <c r="I10" s="63"/>
      <c r="J10" s="103"/>
      <c r="K10" s="38" t="str">
        <f t="shared" si="0"/>
        <v/>
      </c>
      <c r="L10" s="25" t="str">
        <f t="shared" si="3"/>
        <v/>
      </c>
      <c r="M10" s="116" t="str">
        <f t="shared" si="4"/>
        <v/>
      </c>
      <c r="P10" s="16"/>
    </row>
    <row r="11" spans="1:25" x14ac:dyDescent="0.25">
      <c r="E11" s="20"/>
      <c r="F11" s="21" t="str">
        <f>IF(G11=1,"Week " &amp;COUNTIF($G$6:$G11,1) + 1,"")</f>
        <v>Week 2</v>
      </c>
      <c r="G11" s="28">
        <f t="shared" si="1"/>
        <v>1</v>
      </c>
      <c r="H11" s="60">
        <v>45389</v>
      </c>
      <c r="I11" s="63"/>
      <c r="J11" s="103"/>
      <c r="K11" s="38" t="str">
        <f t="shared" si="0"/>
        <v/>
      </c>
      <c r="L11" s="25">
        <f t="shared" si="3"/>
        <v>0</v>
      </c>
      <c r="M11" s="116">
        <f t="shared" si="4"/>
        <v>1.6666666666666665</v>
      </c>
      <c r="P11" s="16"/>
    </row>
    <row r="12" spans="1:25" x14ac:dyDescent="0.25">
      <c r="E12" s="20"/>
      <c r="F12" s="21" t="str">
        <f>IF(G12=1,"Week " &amp;COUNTIF($G$6:$G12,1) + 1,"")</f>
        <v/>
      </c>
      <c r="G12" s="28">
        <f t="shared" si="1"/>
        <v>2</v>
      </c>
      <c r="H12" s="60">
        <v>45390</v>
      </c>
      <c r="I12" s="63"/>
      <c r="J12" s="103"/>
      <c r="K12" s="38" t="str">
        <f t="shared" si="0"/>
        <v/>
      </c>
      <c r="L12" s="25" t="str">
        <f t="shared" si="3"/>
        <v/>
      </c>
      <c r="M12" s="116" t="str">
        <f t="shared" si="4"/>
        <v/>
      </c>
      <c r="P12" s="16"/>
    </row>
    <row r="13" spans="1:25" x14ac:dyDescent="0.25">
      <c r="E13" s="20"/>
      <c r="F13" s="21" t="str">
        <f>IF(G13=1,"Week " &amp;COUNTIF($G$6:$G13,1) + 1,"")</f>
        <v/>
      </c>
      <c r="G13" s="28">
        <f t="shared" si="1"/>
        <v>3</v>
      </c>
      <c r="H13" s="60">
        <v>45391</v>
      </c>
      <c r="I13" s="63"/>
      <c r="J13" s="103"/>
      <c r="K13" s="38" t="str">
        <f t="shared" si="0"/>
        <v/>
      </c>
      <c r="L13" s="25" t="str">
        <f t="shared" si="3"/>
        <v/>
      </c>
      <c r="M13" s="116" t="str">
        <f t="shared" si="4"/>
        <v/>
      </c>
      <c r="P13" s="16"/>
      <c r="U13" s="23"/>
    </row>
    <row r="14" spans="1:25" x14ac:dyDescent="0.25">
      <c r="E14" s="20"/>
      <c r="F14" s="21" t="str">
        <f>IF(G14=1,"Week " &amp;COUNTIF($G$6:$G14,1) + 1,"")</f>
        <v/>
      </c>
      <c r="G14" s="28">
        <f t="shared" si="1"/>
        <v>4</v>
      </c>
      <c r="H14" s="60">
        <v>45392</v>
      </c>
      <c r="I14" s="63"/>
      <c r="J14" s="103"/>
      <c r="K14" s="38" t="str">
        <f t="shared" si="0"/>
        <v/>
      </c>
      <c r="L14" s="25" t="str">
        <f t="shared" si="3"/>
        <v/>
      </c>
      <c r="M14" s="116" t="str">
        <f t="shared" si="4"/>
        <v/>
      </c>
      <c r="P14" s="16"/>
      <c r="U14" s="23"/>
    </row>
    <row r="15" spans="1:25" x14ac:dyDescent="0.25">
      <c r="E15" s="20"/>
      <c r="F15" s="21" t="str">
        <f>IF(G15=1,"Week " &amp;COUNTIF($G$6:$G15,1) + 1,"")</f>
        <v/>
      </c>
      <c r="G15" s="28">
        <f t="shared" si="1"/>
        <v>5</v>
      </c>
      <c r="H15" s="61">
        <v>45393</v>
      </c>
      <c r="I15" s="64"/>
      <c r="J15" s="103"/>
      <c r="K15" s="38" t="str">
        <f t="shared" si="0"/>
        <v/>
      </c>
      <c r="L15" s="25" t="str">
        <f t="shared" si="3"/>
        <v/>
      </c>
      <c r="M15" s="116" t="str">
        <f t="shared" si="4"/>
        <v/>
      </c>
      <c r="N15" s="2"/>
      <c r="O15" s="3"/>
      <c r="P15" s="16"/>
      <c r="Q15" s="2"/>
      <c r="U15" s="23"/>
    </row>
    <row r="16" spans="1:25" x14ac:dyDescent="0.25">
      <c r="E16" s="20"/>
      <c r="F16" s="21" t="str">
        <f>IF(G16=1,"Week " &amp;COUNTIF($G$6:$G16,1) + 1,"")</f>
        <v/>
      </c>
      <c r="G16" s="28">
        <f t="shared" si="1"/>
        <v>6</v>
      </c>
      <c r="H16" s="61">
        <v>45394</v>
      </c>
      <c r="I16" s="64"/>
      <c r="J16" s="103"/>
      <c r="K16" s="38" t="str">
        <f t="shared" si="0"/>
        <v/>
      </c>
      <c r="L16" s="25" t="str">
        <f t="shared" si="3"/>
        <v/>
      </c>
      <c r="M16" s="116" t="str">
        <f t="shared" si="4"/>
        <v/>
      </c>
      <c r="N16" s="2"/>
      <c r="O16" s="3"/>
      <c r="P16" s="16"/>
      <c r="Q16" s="2"/>
      <c r="U16" s="23"/>
    </row>
    <row r="17" spans="5:21" x14ac:dyDescent="0.25">
      <c r="E17" s="20"/>
      <c r="F17" s="21" t="str">
        <f>IF(G17=1,"Week " &amp;COUNTIF($G$6:$G17,1) + 1,"")</f>
        <v/>
      </c>
      <c r="G17" s="28">
        <f t="shared" si="1"/>
        <v>7</v>
      </c>
      <c r="H17" s="61">
        <v>45395</v>
      </c>
      <c r="I17" s="64"/>
      <c r="J17" s="103"/>
      <c r="K17" s="38" t="str">
        <f t="shared" si="0"/>
        <v/>
      </c>
      <c r="L17" s="25" t="str">
        <f t="shared" si="3"/>
        <v/>
      </c>
      <c r="M17" s="116" t="str">
        <f t="shared" si="4"/>
        <v/>
      </c>
      <c r="N17" s="2"/>
      <c r="O17" s="1"/>
      <c r="P17" s="16"/>
      <c r="U17" s="23"/>
    </row>
    <row r="18" spans="5:21" x14ac:dyDescent="0.25">
      <c r="E18" s="20"/>
      <c r="F18" s="21" t="str">
        <f>IF(G18=1,"Week " &amp;COUNTIF($G$6:$G18,1) + 1,"")</f>
        <v>Week 3</v>
      </c>
      <c r="G18" s="28">
        <f t="shared" si="1"/>
        <v>1</v>
      </c>
      <c r="H18" s="61">
        <v>45396</v>
      </c>
      <c r="I18" s="64"/>
      <c r="J18" s="103"/>
      <c r="K18" s="38" t="str">
        <f t="shared" si="0"/>
        <v/>
      </c>
      <c r="L18" s="25">
        <f t="shared" si="3"/>
        <v>0</v>
      </c>
      <c r="M18" s="116">
        <f t="shared" si="4"/>
        <v>1.6666666666666665</v>
      </c>
      <c r="N18" s="2"/>
      <c r="O18" s="3"/>
      <c r="P18" s="16"/>
      <c r="U18" s="23"/>
    </row>
    <row r="19" spans="5:21" x14ac:dyDescent="0.25">
      <c r="E19" s="20"/>
      <c r="F19" s="21" t="str">
        <f>IF(G19=1,"Week " &amp;COUNTIF($G$6:$G19,1) + 1,"")</f>
        <v/>
      </c>
      <c r="G19" s="28">
        <f t="shared" si="1"/>
        <v>2</v>
      </c>
      <c r="H19" s="127">
        <v>45397</v>
      </c>
      <c r="I19" s="63"/>
      <c r="J19" s="103"/>
      <c r="K19" s="38" t="str">
        <f t="shared" ref="K19:K25" si="5">IF(I19 &lt;&gt; "", I19+J19, IF(J19 &lt;&gt; "", I19+J19, ""))</f>
        <v/>
      </c>
      <c r="L19" s="25" t="str">
        <f t="shared" si="3"/>
        <v/>
      </c>
      <c r="M19" s="116" t="str">
        <f t="shared" si="4"/>
        <v/>
      </c>
      <c r="O19" s="67"/>
      <c r="U19" s="23"/>
    </row>
    <row r="20" spans="5:21" x14ac:dyDescent="0.25">
      <c r="E20" s="20"/>
      <c r="F20" s="21" t="str">
        <f>IF(G20=1,"Week " &amp;COUNTIF($G$6:$G20,1) + 1,"")</f>
        <v/>
      </c>
      <c r="G20" s="28">
        <f t="shared" si="1"/>
        <v>3</v>
      </c>
      <c r="H20" s="61">
        <v>45398</v>
      </c>
      <c r="I20" s="64"/>
      <c r="J20" s="103"/>
      <c r="K20" s="38" t="str">
        <f t="shared" si="5"/>
        <v/>
      </c>
      <c r="L20" s="25" t="str">
        <f t="shared" si="3"/>
        <v/>
      </c>
      <c r="M20" s="116"/>
      <c r="U20" s="23"/>
    </row>
    <row r="21" spans="5:21" x14ac:dyDescent="0.25">
      <c r="E21" s="20"/>
      <c r="F21" s="21" t="str">
        <f>IF(G21=1,"Week " &amp;COUNTIF($G$6:$G21,1) + 1,"")</f>
        <v/>
      </c>
      <c r="G21" s="28">
        <f t="shared" si="1"/>
        <v>4</v>
      </c>
      <c r="H21" s="61">
        <v>45399</v>
      </c>
      <c r="I21" s="64"/>
      <c r="J21" s="103"/>
      <c r="K21" s="38" t="str">
        <f t="shared" si="5"/>
        <v/>
      </c>
      <c r="L21" s="25" t="str">
        <f t="shared" si="3"/>
        <v/>
      </c>
      <c r="M21" s="116" t="str">
        <f t="shared" si="4"/>
        <v/>
      </c>
      <c r="U21" s="23"/>
    </row>
    <row r="22" spans="5:21" x14ac:dyDescent="0.25">
      <c r="E22" s="20"/>
      <c r="F22" s="21" t="str">
        <f>IF(G22=1,"Week " &amp;COUNTIF($G$6:$G22,1) + 1,"")</f>
        <v/>
      </c>
      <c r="G22" s="28">
        <f t="shared" si="1"/>
        <v>5</v>
      </c>
      <c r="H22" s="61">
        <v>45400</v>
      </c>
      <c r="I22" s="64"/>
      <c r="J22" s="103"/>
      <c r="K22" s="38" t="str">
        <f>IF(I22 &lt;&gt; "", I22+J22, IF(J22 &lt;&gt; "", I22+J22, ""))</f>
        <v/>
      </c>
      <c r="L22" s="25" t="str">
        <f>IFERROR(IF(SEARCH(1,G22,1)=1,SUM(K22:K28),""),"")</f>
        <v/>
      </c>
      <c r="M22" s="116" t="str">
        <f t="shared" si="4"/>
        <v/>
      </c>
      <c r="U22" s="23"/>
    </row>
    <row r="23" spans="5:21" x14ac:dyDescent="0.25">
      <c r="E23" s="20"/>
      <c r="F23" s="21" t="str">
        <f>IF(G23=1,"Week " &amp;COUNTIF($G$6:$G23,1) + 1,"")</f>
        <v/>
      </c>
      <c r="G23" s="28">
        <f t="shared" si="1"/>
        <v>6</v>
      </c>
      <c r="H23" s="61">
        <v>45401</v>
      </c>
      <c r="I23" s="64"/>
      <c r="J23" s="103"/>
      <c r="K23" s="38" t="str">
        <f t="shared" si="5"/>
        <v/>
      </c>
      <c r="L23" s="25" t="str">
        <f t="shared" si="3"/>
        <v/>
      </c>
      <c r="M23" s="116" t="str">
        <f t="shared" si="4"/>
        <v/>
      </c>
      <c r="U23" s="23"/>
    </row>
    <row r="24" spans="5:21" x14ac:dyDescent="0.25">
      <c r="E24" s="20"/>
      <c r="F24" s="21" t="str">
        <f>IF(G24=1,"Week " &amp;COUNTIF($G$6:$G24,1) + 1,"")</f>
        <v/>
      </c>
      <c r="G24" s="28">
        <f t="shared" si="1"/>
        <v>7</v>
      </c>
      <c r="H24" s="61">
        <v>45402</v>
      </c>
      <c r="I24" s="64"/>
      <c r="J24" s="103"/>
      <c r="K24" s="38" t="str">
        <f t="shared" si="5"/>
        <v/>
      </c>
      <c r="L24" s="25" t="str">
        <f t="shared" si="3"/>
        <v/>
      </c>
      <c r="M24" s="116" t="str">
        <f t="shared" si="4"/>
        <v/>
      </c>
      <c r="Q24" s="21"/>
      <c r="U24" s="23"/>
    </row>
    <row r="25" spans="5:21" x14ac:dyDescent="0.25">
      <c r="E25" s="20"/>
      <c r="F25" s="21" t="str">
        <f>IF(G25=1,"Week " &amp;COUNTIF($G$6:$G25,1) + 1,"")</f>
        <v>Week 4</v>
      </c>
      <c r="G25" s="28">
        <f t="shared" si="1"/>
        <v>1</v>
      </c>
      <c r="H25" s="61">
        <v>45403</v>
      </c>
      <c r="I25" s="64"/>
      <c r="J25" s="103"/>
      <c r="K25" s="38" t="str">
        <f t="shared" si="5"/>
        <v/>
      </c>
      <c r="L25" s="25">
        <f t="shared" si="3"/>
        <v>0</v>
      </c>
      <c r="M25" s="116">
        <f t="shared" si="4"/>
        <v>1.6666666666666665</v>
      </c>
      <c r="U25" s="23"/>
    </row>
    <row r="26" spans="5:21" x14ac:dyDescent="0.25">
      <c r="E26" s="20"/>
      <c r="F26" s="21" t="str">
        <f>IF(G26=1,"Week " &amp;COUNTIF($G$6:$G26,1) + 1,"")</f>
        <v/>
      </c>
      <c r="G26" s="28">
        <f t="shared" si="1"/>
        <v>2</v>
      </c>
      <c r="H26" s="61">
        <v>45404</v>
      </c>
      <c r="I26" s="64"/>
      <c r="J26" s="103"/>
      <c r="K26" s="38" t="str">
        <f t="shared" ref="K26:K39" si="6">IF(I26 &lt;&gt; "", I26+J26, IF(J26 &lt;&gt; "", I26+J26, ""))</f>
        <v/>
      </c>
      <c r="L26" s="25" t="str">
        <f t="shared" si="3"/>
        <v/>
      </c>
      <c r="M26" s="116" t="str">
        <f t="shared" si="4"/>
        <v/>
      </c>
      <c r="U26" s="23"/>
    </row>
    <row r="27" spans="5:21" x14ac:dyDescent="0.25">
      <c r="E27" s="20"/>
      <c r="F27" s="21" t="str">
        <f>IF(G27=1,"Week " &amp;COUNTIF($G$6:$G27,1) + 1,"")</f>
        <v/>
      </c>
      <c r="G27" s="28">
        <f t="shared" si="1"/>
        <v>3</v>
      </c>
      <c r="H27" s="61">
        <v>45405</v>
      </c>
      <c r="I27" s="64"/>
      <c r="J27" s="103"/>
      <c r="K27" s="38" t="str">
        <f t="shared" si="6"/>
        <v/>
      </c>
      <c r="L27" s="25" t="str">
        <f t="shared" si="3"/>
        <v/>
      </c>
      <c r="M27" s="116" t="str">
        <f t="shared" si="4"/>
        <v/>
      </c>
      <c r="U27" s="23"/>
    </row>
    <row r="28" spans="5:21" x14ac:dyDescent="0.25">
      <c r="E28" s="20"/>
      <c r="F28" s="21" t="str">
        <f>IF(G28=1,"Week " &amp;COUNTIF($G$6:$G28,1) + 1,"")</f>
        <v/>
      </c>
      <c r="G28" s="28">
        <f t="shared" si="1"/>
        <v>4</v>
      </c>
      <c r="H28" s="61">
        <v>45406</v>
      </c>
      <c r="I28" s="64"/>
      <c r="J28" s="103"/>
      <c r="K28" s="38" t="str">
        <f t="shared" si="6"/>
        <v/>
      </c>
      <c r="L28" s="25" t="str">
        <f t="shared" si="3"/>
        <v/>
      </c>
      <c r="M28" s="116" t="str">
        <f t="shared" si="4"/>
        <v/>
      </c>
      <c r="U28" s="23"/>
    </row>
    <row r="29" spans="5:21" x14ac:dyDescent="0.25">
      <c r="E29" s="20"/>
      <c r="F29" s="21" t="str">
        <f>IF(G29=1,"Week " &amp;COUNTIF($G$6:$G29,1) + 1,"")</f>
        <v/>
      </c>
      <c r="G29" s="28">
        <f t="shared" si="1"/>
        <v>5</v>
      </c>
      <c r="H29" s="61">
        <v>45407</v>
      </c>
      <c r="I29" s="64"/>
      <c r="J29" s="103"/>
      <c r="K29" s="38" t="str">
        <f t="shared" si="6"/>
        <v/>
      </c>
      <c r="L29" s="25" t="str">
        <f t="shared" si="3"/>
        <v/>
      </c>
      <c r="M29" s="116" t="str">
        <f t="shared" si="4"/>
        <v/>
      </c>
      <c r="U29" s="23"/>
    </row>
    <row r="30" spans="5:21" x14ac:dyDescent="0.25">
      <c r="E30" s="20"/>
      <c r="F30" s="21" t="str">
        <f>IF(G30=1,"Week " &amp;COUNTIF($G$6:$G30,1) + 1,"")</f>
        <v/>
      </c>
      <c r="G30" s="28">
        <f t="shared" si="1"/>
        <v>6</v>
      </c>
      <c r="H30" s="61">
        <v>45408</v>
      </c>
      <c r="I30" s="64"/>
      <c r="J30" s="103"/>
      <c r="K30" s="38" t="str">
        <f t="shared" si="6"/>
        <v/>
      </c>
      <c r="L30" s="25" t="str">
        <f t="shared" si="3"/>
        <v/>
      </c>
      <c r="M30" s="116" t="str">
        <f t="shared" si="4"/>
        <v/>
      </c>
      <c r="U30" s="23"/>
    </row>
    <row r="31" spans="5:21" x14ac:dyDescent="0.25">
      <c r="E31" s="20"/>
      <c r="F31" s="21" t="str">
        <f>IF(G31=1,"Week " &amp;COUNTIF($G$6:$G31,1) + 1,"")</f>
        <v/>
      </c>
      <c r="G31" s="28">
        <f t="shared" si="1"/>
        <v>7</v>
      </c>
      <c r="H31" s="61">
        <v>45409</v>
      </c>
      <c r="I31" s="64"/>
      <c r="J31" s="103"/>
      <c r="K31" s="38" t="str">
        <f t="shared" si="6"/>
        <v/>
      </c>
      <c r="L31" s="25" t="str">
        <f t="shared" si="3"/>
        <v/>
      </c>
      <c r="M31" s="116" t="str">
        <f t="shared" si="4"/>
        <v/>
      </c>
      <c r="U31" s="23"/>
    </row>
    <row r="32" spans="5:21" x14ac:dyDescent="0.25">
      <c r="E32" s="20"/>
      <c r="F32" s="21" t="str">
        <f>IF(G32=1,"Week " &amp;COUNTIF($G$6:$G32,1) + 1,"")</f>
        <v>Week 5</v>
      </c>
      <c r="G32" s="28">
        <f t="shared" si="1"/>
        <v>1</v>
      </c>
      <c r="H32" s="61">
        <v>45410</v>
      </c>
      <c r="I32" s="65"/>
      <c r="J32" s="103"/>
      <c r="K32" s="38" t="str">
        <f t="shared" si="6"/>
        <v/>
      </c>
      <c r="L32" s="25">
        <f t="shared" si="3"/>
        <v>0</v>
      </c>
      <c r="M32" s="116">
        <f t="shared" si="4"/>
        <v>1.6666666666666665</v>
      </c>
      <c r="U32" s="23"/>
    </row>
    <row r="33" spans="1:21" x14ac:dyDescent="0.25">
      <c r="E33" s="20"/>
      <c r="F33" s="21" t="str">
        <f>IF(G33=1,"Week " &amp;COUNTIF($G$6:$G33,1) + 1,"")</f>
        <v/>
      </c>
      <c r="G33" s="28">
        <f t="shared" si="1"/>
        <v>2</v>
      </c>
      <c r="H33" s="61">
        <v>45411</v>
      </c>
      <c r="I33" s="65"/>
      <c r="J33" s="103"/>
      <c r="K33" s="38" t="str">
        <f t="shared" si="6"/>
        <v/>
      </c>
      <c r="L33" s="25" t="str">
        <f t="shared" si="3"/>
        <v/>
      </c>
      <c r="M33" s="116" t="str">
        <f t="shared" si="4"/>
        <v/>
      </c>
      <c r="U33" s="23"/>
    </row>
    <row r="34" spans="1:21" x14ac:dyDescent="0.25">
      <c r="A34" s="20"/>
      <c r="E34" s="20"/>
      <c r="F34" s="21" t="str">
        <f>IF(G34=1,"Week " &amp;COUNTIF($G$6:$G34,1) + 1,"")</f>
        <v/>
      </c>
      <c r="G34" s="28">
        <f t="shared" si="1"/>
        <v>3</v>
      </c>
      <c r="H34" s="61">
        <v>45412</v>
      </c>
      <c r="I34" s="65"/>
      <c r="J34" s="103"/>
      <c r="K34" s="38" t="str">
        <f t="shared" si="6"/>
        <v/>
      </c>
      <c r="L34" s="25" t="str">
        <f>IFERROR(IF(SEARCH(1,G34,1)=1,SUM(K34:K39),""),"")</f>
        <v/>
      </c>
      <c r="M34" s="116" t="str">
        <f t="shared" si="4"/>
        <v/>
      </c>
      <c r="U34" s="23"/>
    </row>
    <row r="35" spans="1:21" x14ac:dyDescent="0.25">
      <c r="A35" s="20"/>
      <c r="E35" s="20"/>
      <c r="F35" s="21" t="str">
        <f>IF(G35=1,"Week " &amp;COUNTIF($G$6:$G35,1) + 1,"")</f>
        <v/>
      </c>
      <c r="G35" s="28" t="str">
        <f t="shared" si="1"/>
        <v/>
      </c>
      <c r="H35" s="61"/>
      <c r="I35" s="65"/>
      <c r="J35" s="103"/>
      <c r="K35" s="38" t="str">
        <f t="shared" si="6"/>
        <v/>
      </c>
      <c r="L35" s="25" t="str">
        <f>IFERROR(IF(SEARCH(1,G35,1)=1,SUM(K35:K39),""),"")</f>
        <v/>
      </c>
      <c r="M35" s="116" t="str">
        <f t="shared" si="4"/>
        <v/>
      </c>
      <c r="U35" s="23"/>
    </row>
    <row r="36" spans="1:21" x14ac:dyDescent="0.25">
      <c r="A36" s="20"/>
      <c r="E36" s="20"/>
      <c r="F36" s="21" t="str">
        <f>IF(G36=1,"Week " &amp;COUNTIF($G$6:$G36,1) + 1,"")</f>
        <v/>
      </c>
      <c r="G36" s="28" t="str">
        <f t="shared" si="1"/>
        <v/>
      </c>
      <c r="H36" s="61"/>
      <c r="I36" s="64"/>
      <c r="J36" s="103"/>
      <c r="K36" s="38" t="str">
        <f t="shared" si="6"/>
        <v/>
      </c>
      <c r="L36" s="25" t="str">
        <f>IFERROR(IF(SEARCH(1,G36,1)=1,SUM(K36:K39),""),"")</f>
        <v/>
      </c>
      <c r="M36" s="116" t="str">
        <f t="shared" si="4"/>
        <v/>
      </c>
      <c r="U36" s="23"/>
    </row>
    <row r="37" spans="1:21" x14ac:dyDescent="0.25">
      <c r="A37" s="20"/>
      <c r="E37" s="20"/>
      <c r="F37" s="21" t="str">
        <f>IF(G37=1,"Week " &amp;COUNTIF($G$6:$G37,1) + 1,"")</f>
        <v/>
      </c>
      <c r="G37" s="28" t="str">
        <f t="shared" si="1"/>
        <v/>
      </c>
      <c r="H37" s="61"/>
      <c r="I37" s="65"/>
      <c r="J37" s="103"/>
      <c r="K37" s="38" t="str">
        <f t="shared" si="6"/>
        <v/>
      </c>
      <c r="L37" s="25" t="str">
        <f>IFERROR(IF(SEARCH(1,G37,1)=1,SUM(K37:K39),""),"")</f>
        <v/>
      </c>
      <c r="M37" s="116" t="str">
        <f t="shared" si="4"/>
        <v/>
      </c>
      <c r="O37" s="21"/>
      <c r="U37" s="23"/>
    </row>
    <row r="38" spans="1:21" x14ac:dyDescent="0.25">
      <c r="A38" s="20"/>
      <c r="E38" s="20"/>
      <c r="F38" s="21" t="str">
        <f>IF(G38=1,"Week " &amp;COUNTIF($G$6:$G38,1) + 1,"")</f>
        <v/>
      </c>
      <c r="G38" s="28" t="str">
        <f t="shared" si="1"/>
        <v/>
      </c>
      <c r="H38" s="61"/>
      <c r="I38" s="65"/>
      <c r="J38" s="103"/>
      <c r="K38" s="38" t="str">
        <f t="shared" si="6"/>
        <v/>
      </c>
      <c r="L38" s="25" t="str">
        <f>IFERROR(IF(SEARCH(1,G38,1)=1,SUM(K38:K39),""),"")</f>
        <v/>
      </c>
      <c r="M38" s="101" t="str">
        <f>IFERROR(IF(I38&lt;&gt;0,HOUR(I38) + VLOOKUP(MINUTE(I38),#REF!,3,FALSE),""),"")</f>
        <v/>
      </c>
      <c r="U38" s="23"/>
    </row>
    <row r="39" spans="1:21" ht="15.75" thickBot="1" x14ac:dyDescent="0.3">
      <c r="E39" s="20"/>
      <c r="F39" s="21" t="str">
        <f>IF(G39=1,"Week " &amp;COUNTIF($G$6:$G39,1) + 1,"")</f>
        <v/>
      </c>
      <c r="G39" s="28" t="str">
        <f t="shared" si="1"/>
        <v/>
      </c>
      <c r="H39" s="62"/>
      <c r="I39" s="66"/>
      <c r="J39" s="103"/>
      <c r="K39" s="39" t="str">
        <f t="shared" si="6"/>
        <v/>
      </c>
      <c r="L39" s="25" t="str">
        <f>IFERROR(IF(SEARCH(1,G39,1)=1,SUM(K39),""),"")</f>
        <v/>
      </c>
      <c r="M39" s="101" t="str">
        <f>IFERROR(IF(I39&lt;&gt;0,HOUR(I39) + VLOOKUP(MINUTE(I39),#REF!,3,FALSE),""),"")</f>
        <v/>
      </c>
      <c r="U39" s="23"/>
    </row>
    <row r="40" spans="1:21" ht="18.75" x14ac:dyDescent="0.3">
      <c r="E40" s="20"/>
      <c r="J40" s="35" t="s">
        <v>27</v>
      </c>
      <c r="K40" s="125">
        <f>SUM(K5:K39)</f>
        <v>0</v>
      </c>
      <c r="L40" s="125">
        <f>B166</f>
        <v>7.333333333333333</v>
      </c>
      <c r="M40" s="115"/>
    </row>
    <row r="41" spans="1:21" ht="19.5" thickBot="1" x14ac:dyDescent="0.35">
      <c r="E41" s="20"/>
      <c r="J41" s="36" t="s">
        <v>28</v>
      </c>
      <c r="K41" s="40">
        <f>SUM(COUNTA(I5:I39),COUNTA(J5:J39))</f>
        <v>0</v>
      </c>
      <c r="L41" s="125">
        <f>L40-K40</f>
        <v>7.333333333333333</v>
      </c>
      <c r="M41" s="115"/>
    </row>
    <row r="42" spans="1:21" x14ac:dyDescent="0.25">
      <c r="K42" s="18"/>
    </row>
    <row r="47" spans="1:21" ht="15.75" thickBot="1" x14ac:dyDescent="0.3">
      <c r="B47" s="32"/>
      <c r="C47" s="32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</row>
    <row r="48" spans="1:21" ht="45.75" customHeight="1" thickBot="1" x14ac:dyDescent="0.3">
      <c r="B48" s="32"/>
      <c r="C48" s="32"/>
      <c r="D48" s="68"/>
      <c r="E48" s="68"/>
      <c r="F48" s="68"/>
      <c r="G48" s="94" t="s">
        <v>26</v>
      </c>
      <c r="H48" s="95" t="s">
        <v>31</v>
      </c>
      <c r="I48" s="69" t="s">
        <v>30</v>
      </c>
      <c r="J48" s="95" t="s">
        <v>23</v>
      </c>
      <c r="K48" s="70" t="s">
        <v>30</v>
      </c>
      <c r="L48" s="68"/>
      <c r="M48" s="68"/>
      <c r="N48" s="68"/>
      <c r="O48" s="68"/>
    </row>
    <row r="49" spans="2:21" x14ac:dyDescent="0.25">
      <c r="B49" s="32"/>
      <c r="C49" s="32"/>
      <c r="D49" s="68"/>
      <c r="E49" s="68"/>
      <c r="F49" s="68"/>
      <c r="G49" s="71"/>
      <c r="H49" s="72"/>
      <c r="I49" s="73"/>
      <c r="J49" s="74"/>
      <c r="K49" s="75"/>
      <c r="L49" s="68"/>
      <c r="M49" s="68"/>
      <c r="N49" s="68"/>
      <c r="O49" s="68"/>
    </row>
    <row r="50" spans="2:21" x14ac:dyDescent="0.25">
      <c r="B50" s="32"/>
      <c r="C50" s="32"/>
      <c r="D50" s="68"/>
      <c r="E50" s="68"/>
      <c r="F50" s="68"/>
      <c r="G50" s="96" t="s">
        <v>25</v>
      </c>
      <c r="H50" s="76">
        <f>K40-H52</f>
        <v>-0.26168981481481485</v>
      </c>
      <c r="I50" s="88">
        <f>H50/(K41-1)</f>
        <v>0.26168981481481485</v>
      </c>
      <c r="J50" s="99"/>
      <c r="K50" s="77"/>
      <c r="L50" s="78" t="str">
        <f>"In " &amp; (K41-1) &amp; " Days."</f>
        <v>In -1 Days.</v>
      </c>
      <c r="M50" s="68"/>
      <c r="N50" s="68"/>
      <c r="O50" s="68"/>
    </row>
    <row r="51" spans="2:21" ht="15.75" thickBot="1" x14ac:dyDescent="0.3">
      <c r="B51" s="32"/>
      <c r="C51" s="32"/>
      <c r="D51" s="68"/>
      <c r="E51" s="68"/>
      <c r="F51" s="68"/>
      <c r="G51" s="79"/>
      <c r="H51" s="80"/>
      <c r="I51" s="92"/>
      <c r="J51" s="100"/>
      <c r="K51" s="77"/>
      <c r="L51" s="68"/>
      <c r="M51" s="68"/>
      <c r="N51" s="68"/>
      <c r="O51" s="68"/>
    </row>
    <row r="52" spans="2:21" ht="20.25" thickTop="1" thickBot="1" x14ac:dyDescent="0.35">
      <c r="B52" s="33"/>
      <c r="C52" s="34"/>
      <c r="D52" s="83"/>
      <c r="E52" s="83"/>
      <c r="F52" s="83"/>
      <c r="G52" s="97" t="s">
        <v>29</v>
      </c>
      <c r="H52" s="84">
        <f>U64</f>
        <v>0.26168981481481485</v>
      </c>
      <c r="I52" s="85"/>
      <c r="J52" s="86">
        <f>IF((H52 &lt; B165), (B165-H52), "Go Home...")</f>
        <v>7.1643518518518468E-2</v>
      </c>
      <c r="K52" s="87"/>
      <c r="L52" s="118" t="s">
        <v>24</v>
      </c>
      <c r="M52" s="117">
        <f ca="1">IF(J52="Go Home...", "Go Home...", (NOW() + J52))</f>
        <v>45383.841543287039</v>
      </c>
      <c r="N52" s="83"/>
      <c r="O52" s="87"/>
    </row>
    <row r="53" spans="2:21" x14ac:dyDescent="0.25">
      <c r="B53" s="32"/>
      <c r="C53" s="32"/>
      <c r="D53" s="68"/>
      <c r="E53" s="68"/>
      <c r="F53" s="68"/>
      <c r="G53" s="98"/>
      <c r="H53" s="82"/>
      <c r="I53" s="81"/>
      <c r="J53" s="82"/>
      <c r="K53" s="77"/>
      <c r="L53" s="68"/>
      <c r="M53" s="68"/>
      <c r="N53" s="68"/>
      <c r="O53" s="68"/>
    </row>
    <row r="54" spans="2:21" x14ac:dyDescent="0.25">
      <c r="B54" s="32"/>
      <c r="C54" s="32"/>
      <c r="D54" s="68"/>
      <c r="E54" s="68"/>
      <c r="F54" s="68"/>
      <c r="G54" s="113" t="s">
        <v>42</v>
      </c>
      <c r="H54" s="76">
        <f>K40</f>
        <v>0</v>
      </c>
      <c r="I54" s="88" t="e">
        <f>K40/K41</f>
        <v>#DIV/0!</v>
      </c>
      <c r="J54" s="112">
        <f>IF((H54 &lt; B166), (B166-H54), "Go Home...")</f>
        <v>7.333333333333333</v>
      </c>
      <c r="K54" s="89">
        <f>IF(B164=K41, "Fortnight Friday", J54/(B164-K41))</f>
        <v>0.33333333333333331</v>
      </c>
      <c r="L54" s="68"/>
      <c r="M54" s="68"/>
      <c r="N54" s="68"/>
      <c r="O54" s="68"/>
    </row>
    <row r="55" spans="2:21" ht="15.75" thickBot="1" x14ac:dyDescent="0.3">
      <c r="B55" s="32"/>
      <c r="C55" s="32"/>
      <c r="D55" s="68"/>
      <c r="E55" s="68"/>
      <c r="F55" s="68"/>
      <c r="G55" s="90"/>
      <c r="H55" s="91"/>
      <c r="I55" s="92"/>
      <c r="J55" s="91"/>
      <c r="K55" s="93"/>
      <c r="L55" s="68"/>
      <c r="M55" s="68"/>
      <c r="N55" s="68"/>
      <c r="O55" s="68"/>
    </row>
    <row r="56" spans="2:21" x14ac:dyDescent="0.25">
      <c r="B56" s="32"/>
      <c r="C56" s="32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63" spans="2:21" ht="15.75" thickBot="1" x14ac:dyDescent="0.3"/>
    <row r="64" spans="2:21" ht="18.75" x14ac:dyDescent="0.3">
      <c r="C64" s="41" t="s">
        <v>37</v>
      </c>
      <c r="D64" s="42"/>
      <c r="E64" s="42"/>
      <c r="F64" s="42"/>
      <c r="G64" s="42"/>
      <c r="H64" s="42"/>
      <c r="I64" s="42"/>
      <c r="J64" s="43"/>
      <c r="K64" s="57">
        <f>SUM(K65:K200)</f>
        <v>0.31755787037037037</v>
      </c>
      <c r="M64" s="41" t="s">
        <v>38</v>
      </c>
      <c r="N64" s="42"/>
      <c r="O64" s="42"/>
      <c r="P64" s="42"/>
      <c r="Q64" s="42"/>
      <c r="R64" s="42"/>
      <c r="S64" s="42"/>
      <c r="T64" s="43"/>
      <c r="U64" s="57">
        <f>SUM(U65:U200)</f>
        <v>0.26168981481481485</v>
      </c>
    </row>
    <row r="65" spans="3:21" x14ac:dyDescent="0.25">
      <c r="C65" s="44">
        <v>28906</v>
      </c>
      <c r="D65" s="45">
        <v>45379</v>
      </c>
      <c r="E65" s="45" t="s">
        <v>65</v>
      </c>
      <c r="F65" s="45" t="s">
        <v>45</v>
      </c>
      <c r="G65" s="49">
        <v>0.41534722222222226</v>
      </c>
      <c r="H65" s="47" t="s">
        <v>68</v>
      </c>
      <c r="I65" s="48"/>
      <c r="J65" s="54"/>
      <c r="K65" s="55" t="str">
        <f>IF(OR(I65="WORK", I65="PLAY"),J65, "")</f>
        <v/>
      </c>
      <c r="M65" s="44">
        <v>28906</v>
      </c>
      <c r="N65" s="45">
        <v>45380</v>
      </c>
      <c r="O65" s="128">
        <v>0.26168981481481485</v>
      </c>
      <c r="P65" s="46" t="s">
        <v>45</v>
      </c>
      <c r="Q65" s="47">
        <v>0.44097222222222227</v>
      </c>
      <c r="R65" s="48" t="s">
        <v>68</v>
      </c>
      <c r="S65" s="46"/>
      <c r="T65" s="56"/>
      <c r="U65" s="55" t="str">
        <f t="shared" ref="U65:U147" si="7">IF(OR(S65="WORK", S65="PLAY"), T65, "")</f>
        <v/>
      </c>
    </row>
    <row r="66" spans="3:21" x14ac:dyDescent="0.25">
      <c r="C66" s="44">
        <v>28906</v>
      </c>
      <c r="D66" s="45">
        <v>45379</v>
      </c>
      <c r="E66" s="46" t="s">
        <v>69</v>
      </c>
      <c r="F66" s="58" t="s">
        <v>45</v>
      </c>
      <c r="G66" s="49">
        <v>0.41627314814814814</v>
      </c>
      <c r="H66" s="47" t="s">
        <v>52</v>
      </c>
      <c r="I66" s="53"/>
      <c r="J66" s="54">
        <f>G66-G65</f>
        <v>9.2592592592588563E-4</v>
      </c>
      <c r="K66" s="55" t="str">
        <f t="shared" ref="K66:K129" si="8">IF(OR(I66="WORK", I66="PLAY"),J66, "")</f>
        <v/>
      </c>
      <c r="M66" s="44">
        <v>28906</v>
      </c>
      <c r="N66" s="45">
        <v>45380</v>
      </c>
      <c r="O66" s="46" t="s">
        <v>66</v>
      </c>
      <c r="P66" s="46" t="s">
        <v>45</v>
      </c>
      <c r="Q66" s="47">
        <v>0.44200231481481483</v>
      </c>
      <c r="R66" s="48" t="s">
        <v>52</v>
      </c>
      <c r="S66" s="46"/>
      <c r="T66" s="54">
        <f t="shared" ref="T66:T148" si="9">Q66-Q65</f>
        <v>1.0300925925925686E-3</v>
      </c>
      <c r="U66" s="55" t="str">
        <f t="shared" si="7"/>
        <v/>
      </c>
    </row>
    <row r="67" spans="3:21" x14ac:dyDescent="0.25">
      <c r="C67" s="44">
        <v>28906</v>
      </c>
      <c r="D67" s="45">
        <v>45379</v>
      </c>
      <c r="E67" s="46" t="s">
        <v>70</v>
      </c>
      <c r="F67" s="46" t="s">
        <v>45</v>
      </c>
      <c r="G67" s="49">
        <v>0.41645833333333332</v>
      </c>
      <c r="H67" s="47" t="s">
        <v>47</v>
      </c>
      <c r="I67" s="48" t="s">
        <v>48</v>
      </c>
      <c r="J67" s="54">
        <f t="shared" ref="J67:J130" si="10">G67-G66</f>
        <v>1.8518518518517713E-4</v>
      </c>
      <c r="K67" s="55">
        <f t="shared" si="8"/>
        <v>1.8518518518517713E-4</v>
      </c>
      <c r="M67" s="44">
        <v>28906</v>
      </c>
      <c r="N67" s="45">
        <v>45380</v>
      </c>
      <c r="O67" s="46" t="s">
        <v>67</v>
      </c>
      <c r="P67" s="46" t="s">
        <v>45</v>
      </c>
      <c r="Q67" s="47">
        <v>0.44305555555555554</v>
      </c>
      <c r="R67" s="48" t="s">
        <v>47</v>
      </c>
      <c r="S67" s="46" t="s">
        <v>48</v>
      </c>
      <c r="T67" s="54">
        <f t="shared" si="9"/>
        <v>1.0532407407407018E-3</v>
      </c>
      <c r="U67" s="55">
        <f t="shared" si="7"/>
        <v>1.0532407407407018E-3</v>
      </c>
    </row>
    <row r="68" spans="3:21" x14ac:dyDescent="0.25">
      <c r="C68" s="44">
        <v>28906</v>
      </c>
      <c r="D68" s="45">
        <v>45379</v>
      </c>
      <c r="E68" s="46" t="s">
        <v>70</v>
      </c>
      <c r="F68" s="46" t="s">
        <v>46</v>
      </c>
      <c r="G68" s="49">
        <v>0.58187500000000003</v>
      </c>
      <c r="H68" s="47" t="s">
        <v>47</v>
      </c>
      <c r="I68" s="48" t="s">
        <v>49</v>
      </c>
      <c r="J68" s="54">
        <f t="shared" si="10"/>
        <v>0.16541666666666671</v>
      </c>
      <c r="K68" s="55">
        <f t="shared" si="8"/>
        <v>0.16541666666666671</v>
      </c>
      <c r="M68" s="44">
        <v>28906</v>
      </c>
      <c r="N68" s="45">
        <v>45380</v>
      </c>
      <c r="O68" s="46" t="s">
        <v>67</v>
      </c>
      <c r="P68" s="46" t="s">
        <v>45</v>
      </c>
      <c r="Q68" s="47">
        <v>0.44312499999999999</v>
      </c>
      <c r="R68" s="48" t="s">
        <v>47</v>
      </c>
      <c r="S68" s="46" t="s">
        <v>48</v>
      </c>
      <c r="T68" s="54">
        <f t="shared" si="9"/>
        <v>6.94444444444553E-5</v>
      </c>
      <c r="U68" s="55">
        <f t="shared" si="7"/>
        <v>6.94444444444553E-5</v>
      </c>
    </row>
    <row r="69" spans="3:21" x14ac:dyDescent="0.25">
      <c r="C69" s="44">
        <v>28906</v>
      </c>
      <c r="D69" s="45">
        <v>45379</v>
      </c>
      <c r="E69" s="46" t="s">
        <v>71</v>
      </c>
      <c r="F69" s="46" t="s">
        <v>45</v>
      </c>
      <c r="G69" s="49">
        <v>0.58218749999999997</v>
      </c>
      <c r="H69" s="47" t="s">
        <v>47</v>
      </c>
      <c r="I69" s="48" t="s">
        <v>48</v>
      </c>
      <c r="J69" s="54">
        <f t="shared" si="10"/>
        <v>3.1249999999993783E-4</v>
      </c>
      <c r="K69" s="55">
        <f t="shared" si="8"/>
        <v>3.1249999999993783E-4</v>
      </c>
      <c r="M69" s="44">
        <v>28906</v>
      </c>
      <c r="N69" s="45">
        <v>45380</v>
      </c>
      <c r="O69" s="46" t="s">
        <v>67</v>
      </c>
      <c r="P69" s="46" t="s">
        <v>46</v>
      </c>
      <c r="Q69" s="47">
        <v>0.52651620370370367</v>
      </c>
      <c r="R69" s="48" t="s">
        <v>47</v>
      </c>
      <c r="S69" s="46" t="s">
        <v>49</v>
      </c>
      <c r="T69" s="54">
        <f t="shared" si="9"/>
        <v>8.3391203703703676E-2</v>
      </c>
      <c r="U69" s="55">
        <f t="shared" si="7"/>
        <v>8.3391203703703676E-2</v>
      </c>
    </row>
    <row r="70" spans="3:21" x14ac:dyDescent="0.25">
      <c r="C70" s="44">
        <v>28906</v>
      </c>
      <c r="D70" s="45">
        <v>45379</v>
      </c>
      <c r="E70" s="46" t="s">
        <v>71</v>
      </c>
      <c r="F70" s="46" t="s">
        <v>46</v>
      </c>
      <c r="G70" s="49">
        <v>0.58378472222222222</v>
      </c>
      <c r="H70" s="47" t="s">
        <v>47</v>
      </c>
      <c r="I70" s="48" t="s">
        <v>49</v>
      </c>
      <c r="J70" s="54">
        <f t="shared" si="10"/>
        <v>1.5972222222222499E-3</v>
      </c>
      <c r="K70" s="55">
        <f t="shared" si="8"/>
        <v>1.5972222222222499E-3</v>
      </c>
      <c r="M70" s="44">
        <v>28906</v>
      </c>
      <c r="N70" s="45">
        <v>45380</v>
      </c>
      <c r="O70" s="46" t="s">
        <v>66</v>
      </c>
      <c r="P70" s="46" t="s">
        <v>46</v>
      </c>
      <c r="Q70" s="47">
        <v>0.52706018518518516</v>
      </c>
      <c r="R70" s="48" t="s">
        <v>52</v>
      </c>
      <c r="S70" s="46" t="s">
        <v>48</v>
      </c>
      <c r="T70" s="54">
        <f t="shared" si="9"/>
        <v>5.439814814814925E-4</v>
      </c>
      <c r="U70" s="55">
        <f t="shared" si="7"/>
        <v>5.439814814814925E-4</v>
      </c>
    </row>
    <row r="71" spans="3:21" x14ac:dyDescent="0.25">
      <c r="C71" s="44">
        <v>28906</v>
      </c>
      <c r="D71" s="45">
        <v>45379</v>
      </c>
      <c r="E71" s="46" t="s">
        <v>70</v>
      </c>
      <c r="F71" s="46" t="s">
        <v>45</v>
      </c>
      <c r="G71" s="49">
        <v>0.58417824074074076</v>
      </c>
      <c r="H71" s="47" t="s">
        <v>47</v>
      </c>
      <c r="I71" s="48" t="s">
        <v>48</v>
      </c>
      <c r="J71" s="54">
        <f t="shared" si="10"/>
        <v>3.9351851851854303E-4</v>
      </c>
      <c r="K71" s="55">
        <f t="shared" si="8"/>
        <v>3.9351851851854303E-4</v>
      </c>
      <c r="M71" s="44">
        <v>28906</v>
      </c>
      <c r="N71" s="45">
        <v>45380</v>
      </c>
      <c r="O71" s="46" t="s">
        <v>65</v>
      </c>
      <c r="P71" s="46" t="s">
        <v>46</v>
      </c>
      <c r="Q71" s="47">
        <v>0.52804398148148146</v>
      </c>
      <c r="R71" s="48" t="s">
        <v>68</v>
      </c>
      <c r="S71" s="46"/>
      <c r="T71" s="54">
        <f t="shared" si="9"/>
        <v>9.8379629629630205E-4</v>
      </c>
      <c r="U71" s="55" t="str">
        <f t="shared" si="7"/>
        <v/>
      </c>
    </row>
    <row r="72" spans="3:21" x14ac:dyDescent="0.25">
      <c r="C72" s="44">
        <v>28906</v>
      </c>
      <c r="D72" s="45">
        <v>45379</v>
      </c>
      <c r="E72" s="46" t="s">
        <v>70</v>
      </c>
      <c r="F72" s="46" t="s">
        <v>46</v>
      </c>
      <c r="G72" s="49">
        <v>0.61008101851851848</v>
      </c>
      <c r="H72" s="47" t="s">
        <v>47</v>
      </c>
      <c r="I72" s="48" t="s">
        <v>49</v>
      </c>
      <c r="J72" s="54">
        <f t="shared" si="10"/>
        <v>2.5902777777777719E-2</v>
      </c>
      <c r="K72" s="55">
        <f t="shared" si="8"/>
        <v>2.5902777777777719E-2</v>
      </c>
      <c r="M72" s="44">
        <v>28906</v>
      </c>
      <c r="N72" s="45">
        <v>45380</v>
      </c>
      <c r="O72" s="46" t="s">
        <v>65</v>
      </c>
      <c r="P72" s="46" t="s">
        <v>45</v>
      </c>
      <c r="Q72" s="47">
        <v>0.56761574074074073</v>
      </c>
      <c r="R72" s="48" t="s">
        <v>68</v>
      </c>
      <c r="S72" s="46"/>
      <c r="T72" s="54">
        <f t="shared" si="9"/>
        <v>3.9571759259259265E-2</v>
      </c>
      <c r="U72" s="55" t="str">
        <f t="shared" si="7"/>
        <v/>
      </c>
    </row>
    <row r="73" spans="3:21" x14ac:dyDescent="0.25">
      <c r="C73" s="44">
        <v>28906</v>
      </c>
      <c r="D73" s="45">
        <v>45379</v>
      </c>
      <c r="E73" s="58" t="s">
        <v>70</v>
      </c>
      <c r="F73" s="46" t="s">
        <v>45</v>
      </c>
      <c r="G73" s="47">
        <v>0.61054398148148148</v>
      </c>
      <c r="H73" s="47" t="s">
        <v>47</v>
      </c>
      <c r="I73" s="48" t="s">
        <v>48</v>
      </c>
      <c r="J73" s="54">
        <f t="shared" si="10"/>
        <v>4.6296296296299833E-4</v>
      </c>
      <c r="K73" s="55">
        <f t="shared" si="8"/>
        <v>4.6296296296299833E-4</v>
      </c>
      <c r="M73" s="44">
        <v>28906</v>
      </c>
      <c r="N73" s="45">
        <v>45380</v>
      </c>
      <c r="O73" s="46" t="s">
        <v>66</v>
      </c>
      <c r="P73" s="46" t="s">
        <v>45</v>
      </c>
      <c r="Q73" s="47">
        <v>0.56854166666666661</v>
      </c>
      <c r="R73" s="48" t="s">
        <v>52</v>
      </c>
      <c r="S73" s="46"/>
      <c r="T73" s="54">
        <f t="shared" si="9"/>
        <v>9.2592592592588563E-4</v>
      </c>
      <c r="U73" s="55" t="str">
        <f t="shared" si="7"/>
        <v/>
      </c>
    </row>
    <row r="74" spans="3:21" x14ac:dyDescent="0.25">
      <c r="C74" s="44">
        <v>28906</v>
      </c>
      <c r="D74" s="45">
        <v>45379</v>
      </c>
      <c r="E74" s="46" t="s">
        <v>70</v>
      </c>
      <c r="F74" s="46" t="s">
        <v>46</v>
      </c>
      <c r="G74" s="47">
        <v>0.61327546296296298</v>
      </c>
      <c r="H74" s="47" t="s">
        <v>47</v>
      </c>
      <c r="I74" s="48" t="s">
        <v>49</v>
      </c>
      <c r="J74" s="54">
        <f t="shared" si="10"/>
        <v>2.7314814814815014E-3</v>
      </c>
      <c r="K74" s="55">
        <f t="shared" si="8"/>
        <v>2.7314814814815014E-3</v>
      </c>
      <c r="M74" s="44">
        <v>28906</v>
      </c>
      <c r="N74" s="45">
        <v>45380</v>
      </c>
      <c r="O74" s="46" t="s">
        <v>67</v>
      </c>
      <c r="P74" s="46" t="s">
        <v>45</v>
      </c>
      <c r="Q74" s="47">
        <v>0.56967592592592597</v>
      </c>
      <c r="R74" s="48" t="s">
        <v>47</v>
      </c>
      <c r="S74" s="46" t="s">
        <v>48</v>
      </c>
      <c r="T74" s="54">
        <f t="shared" si="9"/>
        <v>1.1342592592593626E-3</v>
      </c>
      <c r="U74" s="55">
        <f t="shared" si="7"/>
        <v>1.1342592592593626E-3</v>
      </c>
    </row>
    <row r="75" spans="3:21" x14ac:dyDescent="0.25">
      <c r="C75" s="44">
        <v>28906</v>
      </c>
      <c r="D75" s="45">
        <v>45379</v>
      </c>
      <c r="E75" s="46" t="s">
        <v>72</v>
      </c>
      <c r="F75" s="46" t="s">
        <v>46</v>
      </c>
      <c r="G75" s="49">
        <v>0.61331018518518521</v>
      </c>
      <c r="H75" s="47" t="s">
        <v>52</v>
      </c>
      <c r="I75" s="48" t="s">
        <v>48</v>
      </c>
      <c r="J75" s="54">
        <f t="shared" si="10"/>
        <v>3.472222222222765E-5</v>
      </c>
      <c r="K75" s="55">
        <f t="shared" si="8"/>
        <v>3.472222222222765E-5</v>
      </c>
      <c r="M75" s="44">
        <v>28906</v>
      </c>
      <c r="N75" s="45">
        <v>45380</v>
      </c>
      <c r="O75" s="46" t="s">
        <v>67</v>
      </c>
      <c r="P75" s="46" t="s">
        <v>46</v>
      </c>
      <c r="Q75" s="47">
        <v>0.57320601851851849</v>
      </c>
      <c r="R75" s="48" t="s">
        <v>47</v>
      </c>
      <c r="S75" s="46" t="s">
        <v>49</v>
      </c>
      <c r="T75" s="54">
        <f t="shared" si="9"/>
        <v>3.5300925925925153E-3</v>
      </c>
      <c r="U75" s="55">
        <f t="shared" si="7"/>
        <v>3.5300925925925153E-3</v>
      </c>
    </row>
    <row r="76" spans="3:21" x14ac:dyDescent="0.25">
      <c r="C76" s="44">
        <v>28906</v>
      </c>
      <c r="D76" s="45">
        <v>45379</v>
      </c>
      <c r="E76" s="46" t="s">
        <v>73</v>
      </c>
      <c r="F76" s="46" t="s">
        <v>45</v>
      </c>
      <c r="G76" s="49">
        <v>0.61356481481481484</v>
      </c>
      <c r="H76" s="47" t="s">
        <v>52</v>
      </c>
      <c r="I76" s="48"/>
      <c r="J76" s="54">
        <f t="shared" si="10"/>
        <v>2.5462962962963243E-4</v>
      </c>
      <c r="K76" s="55" t="str">
        <f t="shared" si="8"/>
        <v/>
      </c>
      <c r="M76" s="44">
        <v>28906</v>
      </c>
      <c r="N76" s="45">
        <v>45380</v>
      </c>
      <c r="O76" s="46" t="s">
        <v>66</v>
      </c>
      <c r="P76" s="46" t="s">
        <v>46</v>
      </c>
      <c r="Q76" s="47">
        <v>0.5750925925925926</v>
      </c>
      <c r="R76" s="48" t="s">
        <v>52</v>
      </c>
      <c r="S76" s="46" t="s">
        <v>48</v>
      </c>
      <c r="T76" s="54">
        <f t="shared" si="9"/>
        <v>1.8865740740741099E-3</v>
      </c>
      <c r="U76" s="55">
        <f t="shared" si="7"/>
        <v>1.8865740740741099E-3</v>
      </c>
    </row>
    <row r="77" spans="3:21" x14ac:dyDescent="0.25">
      <c r="C77" s="44">
        <v>28906</v>
      </c>
      <c r="D77" s="45">
        <v>45379</v>
      </c>
      <c r="E77" s="46" t="s">
        <v>67</v>
      </c>
      <c r="F77" s="46" t="s">
        <v>45</v>
      </c>
      <c r="G77" s="49">
        <v>0.6144560185185185</v>
      </c>
      <c r="H77" s="47" t="s">
        <v>47</v>
      </c>
      <c r="I77" s="48" t="s">
        <v>48</v>
      </c>
      <c r="J77" s="54">
        <f t="shared" si="10"/>
        <v>8.9120370370365798E-4</v>
      </c>
      <c r="K77" s="55">
        <f t="shared" si="8"/>
        <v>8.9120370370365798E-4</v>
      </c>
      <c r="M77" s="44">
        <v>28906</v>
      </c>
      <c r="N77" s="45">
        <v>45380</v>
      </c>
      <c r="O77" s="46" t="s">
        <v>65</v>
      </c>
      <c r="P77" s="46" t="s">
        <v>46</v>
      </c>
      <c r="Q77" s="47">
        <v>0.57608796296296294</v>
      </c>
      <c r="R77" s="48" t="s">
        <v>68</v>
      </c>
      <c r="S77" s="46"/>
      <c r="T77" s="54">
        <f t="shared" si="9"/>
        <v>9.9537037037034093E-4</v>
      </c>
      <c r="U77" s="55" t="str">
        <f t="shared" si="7"/>
        <v/>
      </c>
    </row>
    <row r="78" spans="3:21" x14ac:dyDescent="0.25">
      <c r="C78" s="44">
        <v>28906</v>
      </c>
      <c r="D78" s="45">
        <v>45379</v>
      </c>
      <c r="E78" s="46" t="s">
        <v>67</v>
      </c>
      <c r="F78" s="46" t="s">
        <v>46</v>
      </c>
      <c r="G78" s="49">
        <v>0.61517361111111113</v>
      </c>
      <c r="H78" s="47" t="s">
        <v>47</v>
      </c>
      <c r="I78" s="48" t="s">
        <v>49</v>
      </c>
      <c r="J78" s="54">
        <f t="shared" si="10"/>
        <v>7.1759259259263075E-4</v>
      </c>
      <c r="K78" s="55">
        <f t="shared" si="8"/>
        <v>7.1759259259263075E-4</v>
      </c>
      <c r="M78" s="44">
        <v>28906</v>
      </c>
      <c r="N78" s="45">
        <v>45380</v>
      </c>
      <c r="O78" s="46" t="s">
        <v>65</v>
      </c>
      <c r="P78" s="46" t="s">
        <v>45</v>
      </c>
      <c r="Q78" s="47">
        <v>0.59899305555555549</v>
      </c>
      <c r="R78" s="48" t="s">
        <v>68</v>
      </c>
      <c r="S78" s="46"/>
      <c r="T78" s="54">
        <f t="shared" si="9"/>
        <v>2.2905092592592546E-2</v>
      </c>
      <c r="U78" s="55" t="str">
        <f t="shared" si="7"/>
        <v/>
      </c>
    </row>
    <row r="79" spans="3:21" x14ac:dyDescent="0.25">
      <c r="C79" s="44">
        <v>28906</v>
      </c>
      <c r="D79" s="45">
        <v>45379</v>
      </c>
      <c r="E79" s="46" t="s">
        <v>64</v>
      </c>
      <c r="F79" s="46" t="s">
        <v>45</v>
      </c>
      <c r="G79" s="49">
        <v>0.61540509259259257</v>
      </c>
      <c r="H79" s="47" t="s">
        <v>47</v>
      </c>
      <c r="I79" s="48" t="s">
        <v>48</v>
      </c>
      <c r="J79" s="54">
        <f t="shared" si="10"/>
        <v>2.3148148148144365E-4</v>
      </c>
      <c r="K79" s="55">
        <f t="shared" si="8"/>
        <v>2.3148148148144365E-4</v>
      </c>
      <c r="M79" s="44">
        <v>28906</v>
      </c>
      <c r="N79" s="45">
        <v>45380</v>
      </c>
      <c r="O79" s="46" t="s">
        <v>66</v>
      </c>
      <c r="P79" s="46" t="s">
        <v>45</v>
      </c>
      <c r="Q79" s="47">
        <v>0.5998148148148148</v>
      </c>
      <c r="R79" s="47" t="s">
        <v>52</v>
      </c>
      <c r="S79" s="46"/>
      <c r="T79" s="54">
        <f t="shared" si="9"/>
        <v>8.217592592593137E-4</v>
      </c>
      <c r="U79" s="55" t="str">
        <f t="shared" si="7"/>
        <v/>
      </c>
    </row>
    <row r="80" spans="3:21" x14ac:dyDescent="0.25">
      <c r="C80" s="44">
        <v>28906</v>
      </c>
      <c r="D80" s="45">
        <v>45379</v>
      </c>
      <c r="E80" s="46" t="s">
        <v>64</v>
      </c>
      <c r="F80" s="46" t="s">
        <v>46</v>
      </c>
      <c r="G80" s="49">
        <v>0.61792824074074071</v>
      </c>
      <c r="H80" s="47" t="s">
        <v>47</v>
      </c>
      <c r="I80" s="48" t="s">
        <v>49</v>
      </c>
      <c r="J80" s="54">
        <f t="shared" si="10"/>
        <v>2.5231481481481355E-3</v>
      </c>
      <c r="K80" s="55">
        <f t="shared" si="8"/>
        <v>2.5231481481481355E-3</v>
      </c>
      <c r="M80" s="44">
        <v>28906</v>
      </c>
      <c r="N80" s="45">
        <v>45380</v>
      </c>
      <c r="O80" s="46" t="s">
        <v>67</v>
      </c>
      <c r="P80" s="46" t="s">
        <v>46</v>
      </c>
      <c r="Q80" s="47">
        <v>0.60124999999999995</v>
      </c>
      <c r="R80" s="48" t="s">
        <v>47</v>
      </c>
      <c r="S80" s="46" t="s">
        <v>49</v>
      </c>
      <c r="T80" s="54">
        <f t="shared" si="9"/>
        <v>1.4351851851851505E-3</v>
      </c>
      <c r="U80" s="55">
        <f t="shared" si="7"/>
        <v>1.4351851851851505E-3</v>
      </c>
    </row>
    <row r="81" spans="3:22" x14ac:dyDescent="0.25">
      <c r="C81" s="44">
        <v>28906</v>
      </c>
      <c r="D81" s="45">
        <v>45379</v>
      </c>
      <c r="E81" s="46" t="s">
        <v>73</v>
      </c>
      <c r="F81" s="46" t="s">
        <v>46</v>
      </c>
      <c r="G81" s="49">
        <v>0.61839120370370371</v>
      </c>
      <c r="H81" s="47" t="s">
        <v>52</v>
      </c>
      <c r="I81" s="48" t="s">
        <v>48</v>
      </c>
      <c r="J81" s="54">
        <f t="shared" si="10"/>
        <v>4.6296296296299833E-4</v>
      </c>
      <c r="K81" s="55">
        <f t="shared" si="8"/>
        <v>4.6296296296299833E-4</v>
      </c>
      <c r="M81" s="44"/>
      <c r="N81" s="45"/>
      <c r="O81" s="46"/>
      <c r="P81" s="46" t="s">
        <v>46</v>
      </c>
      <c r="Q81" s="47">
        <v>0.76989583333333333</v>
      </c>
      <c r="R81" s="47" t="s">
        <v>47</v>
      </c>
      <c r="S81" s="46" t="s">
        <v>49</v>
      </c>
      <c r="T81" s="54">
        <f t="shared" si="9"/>
        <v>0.16864583333333338</v>
      </c>
      <c r="U81" s="55">
        <f t="shared" si="7"/>
        <v>0.16864583333333338</v>
      </c>
    </row>
    <row r="82" spans="3:22" x14ac:dyDescent="0.25">
      <c r="C82" s="44">
        <v>28906</v>
      </c>
      <c r="D82" s="45">
        <v>45379</v>
      </c>
      <c r="E82" s="46" t="s">
        <v>72</v>
      </c>
      <c r="F82" s="46" t="s">
        <v>45</v>
      </c>
      <c r="G82" s="49">
        <v>0.61862268518518515</v>
      </c>
      <c r="H82" s="47" t="s">
        <v>52</v>
      </c>
      <c r="I82" s="48"/>
      <c r="J82" s="54">
        <f t="shared" si="10"/>
        <v>2.3148148148144365E-4</v>
      </c>
      <c r="K82" s="55" t="str">
        <f t="shared" si="8"/>
        <v/>
      </c>
      <c r="M82" s="44"/>
      <c r="N82" s="45"/>
      <c r="O82" s="46"/>
      <c r="P82" s="46"/>
      <c r="Q82" s="47"/>
      <c r="R82" s="48"/>
      <c r="S82" s="46"/>
      <c r="T82" s="54">
        <f t="shared" si="9"/>
        <v>-0.76989583333333333</v>
      </c>
      <c r="U82" s="55" t="str">
        <f t="shared" si="7"/>
        <v/>
      </c>
    </row>
    <row r="83" spans="3:22" x14ac:dyDescent="0.25">
      <c r="C83" s="44">
        <v>28906</v>
      </c>
      <c r="D83" s="45">
        <v>45379</v>
      </c>
      <c r="E83" s="46" t="s">
        <v>70</v>
      </c>
      <c r="F83" s="46" t="s">
        <v>45</v>
      </c>
      <c r="G83" s="49">
        <v>0.61866898148148153</v>
      </c>
      <c r="H83" s="47" t="s">
        <v>47</v>
      </c>
      <c r="I83" s="48" t="s">
        <v>48</v>
      </c>
      <c r="J83" s="54">
        <f t="shared" si="10"/>
        <v>4.6296296296377548E-5</v>
      </c>
      <c r="K83" s="55">
        <f t="shared" si="8"/>
        <v>4.6296296296377548E-5</v>
      </c>
      <c r="M83" s="44"/>
      <c r="N83" s="45"/>
      <c r="O83" s="46"/>
      <c r="P83" s="49"/>
      <c r="Q83" s="47"/>
      <c r="R83" s="48"/>
      <c r="S83" s="46"/>
      <c r="T83" s="54">
        <f t="shared" si="9"/>
        <v>0</v>
      </c>
      <c r="U83" s="55" t="str">
        <f t="shared" si="7"/>
        <v/>
      </c>
    </row>
    <row r="84" spans="3:22" x14ac:dyDescent="0.25">
      <c r="C84" s="44">
        <v>28906</v>
      </c>
      <c r="D84" s="45">
        <v>45379</v>
      </c>
      <c r="E84" s="46" t="s">
        <v>70</v>
      </c>
      <c r="F84" s="46" t="s">
        <v>46</v>
      </c>
      <c r="G84" s="49">
        <v>0.61908564814814815</v>
      </c>
      <c r="H84" s="47" t="s">
        <v>47</v>
      </c>
      <c r="I84" s="48" t="s">
        <v>49</v>
      </c>
      <c r="J84" s="54">
        <f t="shared" si="10"/>
        <v>4.1666666666662078E-4</v>
      </c>
      <c r="K84" s="55">
        <f t="shared" si="8"/>
        <v>4.1666666666662078E-4</v>
      </c>
      <c r="M84" s="44"/>
      <c r="N84" s="45"/>
      <c r="O84" s="46"/>
      <c r="P84" s="46"/>
      <c r="Q84" s="47"/>
      <c r="R84" s="48"/>
      <c r="S84" s="46"/>
      <c r="T84" s="54">
        <f t="shared" si="9"/>
        <v>0</v>
      </c>
      <c r="U84" s="55" t="str">
        <f t="shared" si="7"/>
        <v/>
      </c>
    </row>
    <row r="85" spans="3:22" x14ac:dyDescent="0.25">
      <c r="C85" s="44">
        <v>28906</v>
      </c>
      <c r="D85" s="45">
        <v>45379</v>
      </c>
      <c r="E85" s="46" t="s">
        <v>72</v>
      </c>
      <c r="F85" s="46" t="s">
        <v>46</v>
      </c>
      <c r="G85" s="49">
        <v>0.6191550925925926</v>
      </c>
      <c r="H85" s="47" t="s">
        <v>52</v>
      </c>
      <c r="I85" s="48" t="s">
        <v>48</v>
      </c>
      <c r="J85" s="54">
        <f t="shared" si="10"/>
        <v>6.94444444444553E-5</v>
      </c>
      <c r="K85" s="55">
        <f t="shared" si="8"/>
        <v>6.94444444444553E-5</v>
      </c>
      <c r="M85" s="44"/>
      <c r="N85" s="45"/>
      <c r="O85" s="46"/>
      <c r="P85" s="46"/>
      <c r="Q85" s="47"/>
      <c r="R85" s="48"/>
      <c r="S85" s="46"/>
      <c r="T85" s="54">
        <f t="shared" si="9"/>
        <v>0</v>
      </c>
      <c r="U85" s="55" t="str">
        <f t="shared" si="7"/>
        <v/>
      </c>
    </row>
    <row r="86" spans="3:22" x14ac:dyDescent="0.25">
      <c r="C86" s="44">
        <v>28906</v>
      </c>
      <c r="D86" s="45">
        <v>45379</v>
      </c>
      <c r="E86" s="46" t="s">
        <v>72</v>
      </c>
      <c r="F86" s="46" t="s">
        <v>45</v>
      </c>
      <c r="G86" s="49">
        <v>0.61953703703703711</v>
      </c>
      <c r="H86" s="47" t="s">
        <v>52</v>
      </c>
      <c r="I86" s="48"/>
      <c r="J86" s="54">
        <f t="shared" si="10"/>
        <v>3.8194444444450415E-4</v>
      </c>
      <c r="K86" s="55" t="str">
        <f t="shared" si="8"/>
        <v/>
      </c>
      <c r="M86" s="44"/>
      <c r="N86" s="45"/>
      <c r="O86" s="46"/>
      <c r="P86" s="46"/>
      <c r="Q86" s="47"/>
      <c r="R86" s="48"/>
      <c r="S86" s="46"/>
      <c r="T86" s="54">
        <f t="shared" si="9"/>
        <v>0</v>
      </c>
      <c r="U86" s="55" t="str">
        <f t="shared" si="7"/>
        <v/>
      </c>
      <c r="V86" s="1"/>
    </row>
    <row r="87" spans="3:22" x14ac:dyDescent="0.25">
      <c r="C87" s="44">
        <v>28906</v>
      </c>
      <c r="D87" s="45">
        <v>45379</v>
      </c>
      <c r="E87" s="46" t="s">
        <v>70</v>
      </c>
      <c r="F87" s="46" t="s">
        <v>45</v>
      </c>
      <c r="G87" s="49">
        <v>0.61958333333333326</v>
      </c>
      <c r="H87" s="47" t="s">
        <v>47</v>
      </c>
      <c r="I87" s="48" t="s">
        <v>48</v>
      </c>
      <c r="J87" s="54">
        <f t="shared" si="10"/>
        <v>4.6296296296155504E-5</v>
      </c>
      <c r="K87" s="55">
        <f t="shared" si="8"/>
        <v>4.6296296296155504E-5</v>
      </c>
      <c r="M87" s="44"/>
      <c r="N87" s="45"/>
      <c r="O87" s="46"/>
      <c r="P87" s="46"/>
      <c r="Q87" s="47"/>
      <c r="R87" s="48"/>
      <c r="S87" s="46"/>
      <c r="T87" s="54">
        <f t="shared" si="9"/>
        <v>0</v>
      </c>
      <c r="U87" s="55" t="str">
        <f t="shared" si="7"/>
        <v/>
      </c>
    </row>
    <row r="88" spans="3:22" x14ac:dyDescent="0.25">
      <c r="C88" s="44">
        <v>28906</v>
      </c>
      <c r="D88" s="45">
        <v>45379</v>
      </c>
      <c r="E88" s="46" t="s">
        <v>70</v>
      </c>
      <c r="F88" s="46" t="s">
        <v>46</v>
      </c>
      <c r="G88" s="49">
        <v>0.6253009259259259</v>
      </c>
      <c r="H88" s="47" t="s">
        <v>47</v>
      </c>
      <c r="I88" s="48" t="s">
        <v>49</v>
      </c>
      <c r="J88" s="54">
        <f t="shared" si="10"/>
        <v>5.7175925925926352E-3</v>
      </c>
      <c r="K88" s="55">
        <f t="shared" si="8"/>
        <v>5.7175925925926352E-3</v>
      </c>
      <c r="M88" s="44"/>
      <c r="N88" s="45"/>
      <c r="O88" s="46"/>
      <c r="P88" s="46"/>
      <c r="Q88" s="47"/>
      <c r="R88" s="47"/>
      <c r="S88" s="46"/>
      <c r="T88" s="54">
        <f t="shared" si="9"/>
        <v>0</v>
      </c>
      <c r="U88" s="55" t="str">
        <f t="shared" si="7"/>
        <v/>
      </c>
    </row>
    <row r="89" spans="3:22" x14ac:dyDescent="0.25">
      <c r="C89" s="44">
        <v>28906</v>
      </c>
      <c r="D89" s="45">
        <v>45379</v>
      </c>
      <c r="E89" s="46" t="s">
        <v>72</v>
      </c>
      <c r="F89" s="46" t="s">
        <v>46</v>
      </c>
      <c r="G89" s="49">
        <v>0.62534722222222217</v>
      </c>
      <c r="H89" s="47" t="s">
        <v>52</v>
      </c>
      <c r="I89" s="48" t="s">
        <v>48</v>
      </c>
      <c r="J89" s="54">
        <f t="shared" si="10"/>
        <v>4.6296296296266526E-5</v>
      </c>
      <c r="K89" s="55">
        <f t="shared" si="8"/>
        <v>4.6296296296266526E-5</v>
      </c>
      <c r="M89" s="44"/>
      <c r="N89" s="45"/>
      <c r="O89" s="46"/>
      <c r="P89" s="46"/>
      <c r="Q89" s="47"/>
      <c r="R89" s="48"/>
      <c r="S89" s="46"/>
      <c r="T89" s="54">
        <f t="shared" si="9"/>
        <v>0</v>
      </c>
      <c r="U89" s="55" t="str">
        <f t="shared" si="7"/>
        <v/>
      </c>
    </row>
    <row r="90" spans="3:22" x14ac:dyDescent="0.25">
      <c r="C90" s="44">
        <v>28906</v>
      </c>
      <c r="D90" s="45">
        <v>45379</v>
      </c>
      <c r="E90" s="46" t="s">
        <v>65</v>
      </c>
      <c r="F90" s="46" t="s">
        <v>46</v>
      </c>
      <c r="G90" s="49">
        <v>0.62775462962962958</v>
      </c>
      <c r="H90" s="47" t="s">
        <v>68</v>
      </c>
      <c r="I90" s="48"/>
      <c r="J90" s="54">
        <f t="shared" si="10"/>
        <v>2.4074074074074137E-3</v>
      </c>
      <c r="K90" s="55" t="str">
        <f t="shared" si="8"/>
        <v/>
      </c>
      <c r="M90" s="44"/>
      <c r="N90" s="45"/>
      <c r="O90" s="46"/>
      <c r="P90" s="46"/>
      <c r="Q90" s="47"/>
      <c r="R90" s="48"/>
      <c r="S90" s="46"/>
      <c r="T90" s="54">
        <f t="shared" si="9"/>
        <v>0</v>
      </c>
      <c r="U90" s="55" t="str">
        <f t="shared" si="7"/>
        <v/>
      </c>
    </row>
    <row r="91" spans="3:22" x14ac:dyDescent="0.25">
      <c r="C91" s="44">
        <v>28906</v>
      </c>
      <c r="D91" s="45">
        <v>45379</v>
      </c>
      <c r="E91" s="46" t="s">
        <v>65</v>
      </c>
      <c r="F91" s="46" t="s">
        <v>45</v>
      </c>
      <c r="G91" s="49">
        <v>0.64770833333333333</v>
      </c>
      <c r="H91" s="47" t="s">
        <v>68</v>
      </c>
      <c r="I91" s="48"/>
      <c r="J91" s="54">
        <f t="shared" si="10"/>
        <v>1.9953703703703751E-2</v>
      </c>
      <c r="K91" s="55" t="str">
        <f t="shared" si="8"/>
        <v/>
      </c>
      <c r="M91" s="44"/>
      <c r="N91" s="45"/>
      <c r="O91" s="46"/>
      <c r="P91" s="46"/>
      <c r="Q91" s="47"/>
      <c r="R91" s="48"/>
      <c r="S91" s="46"/>
      <c r="T91" s="54">
        <f t="shared" si="9"/>
        <v>0</v>
      </c>
      <c r="U91" s="55" t="str">
        <f t="shared" si="7"/>
        <v/>
      </c>
    </row>
    <row r="92" spans="3:22" x14ac:dyDescent="0.25">
      <c r="C92" s="44">
        <v>28906</v>
      </c>
      <c r="D92" s="45">
        <v>45379</v>
      </c>
      <c r="E92" s="46" t="s">
        <v>66</v>
      </c>
      <c r="F92" s="46" t="s">
        <v>45</v>
      </c>
      <c r="G92" s="49">
        <v>0.64900462962962957</v>
      </c>
      <c r="H92" s="47" t="s">
        <v>52</v>
      </c>
      <c r="I92" s="48"/>
      <c r="J92" s="54">
        <f t="shared" si="10"/>
        <v>1.2962962962962399E-3</v>
      </c>
      <c r="K92" s="55" t="str">
        <f t="shared" si="8"/>
        <v/>
      </c>
      <c r="M92" s="44"/>
      <c r="N92" s="45"/>
      <c r="O92" s="46"/>
      <c r="P92" s="46"/>
      <c r="Q92" s="47"/>
      <c r="R92" s="48"/>
      <c r="S92" s="46"/>
      <c r="T92" s="54">
        <f t="shared" si="9"/>
        <v>0</v>
      </c>
      <c r="U92" s="55" t="str">
        <f t="shared" si="7"/>
        <v/>
      </c>
    </row>
    <row r="93" spans="3:22" x14ac:dyDescent="0.25">
      <c r="C93" s="44">
        <v>28906</v>
      </c>
      <c r="D93" s="45">
        <v>45379</v>
      </c>
      <c r="E93" s="46" t="s">
        <v>67</v>
      </c>
      <c r="F93" s="46" t="s">
        <v>45</v>
      </c>
      <c r="G93" s="49">
        <v>0.65004629629629629</v>
      </c>
      <c r="H93" s="47" t="s">
        <v>47</v>
      </c>
      <c r="I93" s="48" t="s">
        <v>48</v>
      </c>
      <c r="J93" s="54">
        <f t="shared" si="10"/>
        <v>1.0416666666667185E-3</v>
      </c>
      <c r="K93" s="55">
        <f t="shared" si="8"/>
        <v>1.0416666666667185E-3</v>
      </c>
      <c r="M93" s="44"/>
      <c r="N93" s="45"/>
      <c r="O93" s="46"/>
      <c r="P93" s="46"/>
      <c r="Q93" s="47"/>
      <c r="R93" s="48"/>
      <c r="S93" s="46"/>
      <c r="T93" s="54">
        <f t="shared" si="9"/>
        <v>0</v>
      </c>
      <c r="U93" s="55" t="str">
        <f t="shared" si="7"/>
        <v/>
      </c>
    </row>
    <row r="94" spans="3:22" x14ac:dyDescent="0.25">
      <c r="C94" s="44">
        <v>28906</v>
      </c>
      <c r="D94" s="45">
        <v>45379</v>
      </c>
      <c r="E94" s="46" t="s">
        <v>64</v>
      </c>
      <c r="F94" s="46" t="s">
        <v>46</v>
      </c>
      <c r="G94" s="49">
        <v>0.66414351851851849</v>
      </c>
      <c r="H94" s="47" t="s">
        <v>47</v>
      </c>
      <c r="I94" s="48" t="s">
        <v>49</v>
      </c>
      <c r="J94" s="54">
        <f t="shared" si="10"/>
        <v>1.4097222222222205E-2</v>
      </c>
      <c r="K94" s="55">
        <f t="shared" si="8"/>
        <v>1.4097222222222205E-2</v>
      </c>
      <c r="M94" s="44"/>
      <c r="N94" s="45"/>
      <c r="O94" s="46"/>
      <c r="P94" s="46"/>
      <c r="Q94" s="47"/>
      <c r="R94" s="48"/>
      <c r="S94" s="46"/>
      <c r="T94" s="54">
        <f t="shared" si="9"/>
        <v>0</v>
      </c>
      <c r="U94" s="55" t="str">
        <f t="shared" si="7"/>
        <v/>
      </c>
    </row>
    <row r="95" spans="3:22" x14ac:dyDescent="0.25">
      <c r="C95" s="44">
        <v>28906</v>
      </c>
      <c r="D95" s="45">
        <v>45379</v>
      </c>
      <c r="E95" s="46" t="s">
        <v>73</v>
      </c>
      <c r="F95" s="46" t="s">
        <v>46</v>
      </c>
      <c r="G95" s="49">
        <v>0.66466435185185191</v>
      </c>
      <c r="H95" s="47" t="s">
        <v>52</v>
      </c>
      <c r="I95" s="48" t="s">
        <v>48</v>
      </c>
      <c r="J95" s="54">
        <f t="shared" si="10"/>
        <v>5.2083333333341475E-4</v>
      </c>
      <c r="K95" s="55">
        <f t="shared" si="8"/>
        <v>5.2083333333341475E-4</v>
      </c>
      <c r="M95" s="44"/>
      <c r="N95" s="45"/>
      <c r="O95" s="46"/>
      <c r="P95" s="46"/>
      <c r="Q95" s="47"/>
      <c r="R95" s="48"/>
      <c r="S95" s="46"/>
      <c r="T95" s="54">
        <f t="shared" si="9"/>
        <v>0</v>
      </c>
      <c r="U95" s="55" t="str">
        <f t="shared" si="7"/>
        <v/>
      </c>
    </row>
    <row r="96" spans="3:22" x14ac:dyDescent="0.25">
      <c r="C96" s="44">
        <v>28906</v>
      </c>
      <c r="D96" s="45">
        <v>45379</v>
      </c>
      <c r="E96" s="46" t="s">
        <v>72</v>
      </c>
      <c r="F96" s="46" t="s">
        <v>45</v>
      </c>
      <c r="G96" s="49">
        <v>0.66488425925925931</v>
      </c>
      <c r="H96" s="47" t="s">
        <v>52</v>
      </c>
      <c r="I96" s="48"/>
      <c r="J96" s="54">
        <f t="shared" si="10"/>
        <v>2.1990740740740478E-4</v>
      </c>
      <c r="K96" s="55" t="str">
        <f t="shared" si="8"/>
        <v/>
      </c>
      <c r="M96" s="44"/>
      <c r="N96" s="45"/>
      <c r="O96" s="46"/>
      <c r="P96" s="46"/>
      <c r="Q96" s="47"/>
      <c r="R96" s="48"/>
      <c r="S96" s="46"/>
      <c r="T96" s="54">
        <f t="shared" si="9"/>
        <v>0</v>
      </c>
      <c r="U96" s="55" t="str">
        <f t="shared" si="7"/>
        <v/>
      </c>
    </row>
    <row r="97" spans="3:21" x14ac:dyDescent="0.25">
      <c r="C97" s="44">
        <v>28906</v>
      </c>
      <c r="D97" s="45">
        <v>45379</v>
      </c>
      <c r="E97" s="46" t="s">
        <v>70</v>
      </c>
      <c r="F97" s="46" t="s">
        <v>45</v>
      </c>
      <c r="G97" s="49">
        <v>0.66494212962962962</v>
      </c>
      <c r="H97" s="47" t="s">
        <v>47</v>
      </c>
      <c r="I97" s="48" t="s">
        <v>48</v>
      </c>
      <c r="J97" s="54">
        <f t="shared" si="10"/>
        <v>5.7870370370305402E-5</v>
      </c>
      <c r="K97" s="55">
        <f t="shared" si="8"/>
        <v>5.7870370370305402E-5</v>
      </c>
      <c r="M97" s="44"/>
      <c r="N97" s="45"/>
      <c r="O97" s="46"/>
      <c r="P97" s="46"/>
      <c r="Q97" s="47"/>
      <c r="R97" s="48"/>
      <c r="S97" s="46"/>
      <c r="T97" s="54">
        <f t="shared" si="9"/>
        <v>0</v>
      </c>
      <c r="U97" s="55" t="str">
        <f t="shared" si="7"/>
        <v/>
      </c>
    </row>
    <row r="98" spans="3:21" x14ac:dyDescent="0.25">
      <c r="C98" s="44">
        <v>28906</v>
      </c>
      <c r="D98" s="45">
        <v>45379</v>
      </c>
      <c r="E98" s="46" t="s">
        <v>70</v>
      </c>
      <c r="F98" s="46" t="s">
        <v>46</v>
      </c>
      <c r="G98" s="49">
        <v>0.68901620370370376</v>
      </c>
      <c r="H98" s="47" t="s">
        <v>47</v>
      </c>
      <c r="I98" s="48" t="s">
        <v>49</v>
      </c>
      <c r="J98" s="54">
        <f t="shared" si="10"/>
        <v>2.4074074074074137E-2</v>
      </c>
      <c r="K98" s="55">
        <f t="shared" si="8"/>
        <v>2.4074074074074137E-2</v>
      </c>
      <c r="M98" s="44"/>
      <c r="N98" s="45"/>
      <c r="O98" s="46"/>
      <c r="P98" s="46"/>
      <c r="Q98" s="47"/>
      <c r="R98" s="48"/>
      <c r="S98" s="46"/>
      <c r="T98" s="54">
        <f t="shared" si="9"/>
        <v>0</v>
      </c>
      <c r="U98" s="55" t="str">
        <f t="shared" si="7"/>
        <v/>
      </c>
    </row>
    <row r="99" spans="3:21" x14ac:dyDescent="0.25">
      <c r="C99" s="44">
        <v>28906</v>
      </c>
      <c r="D99" s="45">
        <v>45379</v>
      </c>
      <c r="E99" s="46" t="s">
        <v>72</v>
      </c>
      <c r="F99" s="46" t="s">
        <v>46</v>
      </c>
      <c r="G99" s="49">
        <v>0.68906250000000002</v>
      </c>
      <c r="H99" s="47" t="s">
        <v>52</v>
      </c>
      <c r="I99" s="48" t="s">
        <v>48</v>
      </c>
      <c r="J99" s="54">
        <f t="shared" si="10"/>
        <v>4.6296296296266526E-5</v>
      </c>
      <c r="K99" s="55">
        <f t="shared" si="8"/>
        <v>4.6296296296266526E-5</v>
      </c>
      <c r="M99" s="44"/>
      <c r="N99" s="45"/>
      <c r="O99" s="46"/>
      <c r="P99" s="46"/>
      <c r="Q99" s="47"/>
      <c r="R99" s="48"/>
      <c r="S99" s="46"/>
      <c r="T99" s="54">
        <f t="shared" si="9"/>
        <v>0</v>
      </c>
      <c r="U99" s="55" t="str">
        <f t="shared" si="7"/>
        <v/>
      </c>
    </row>
    <row r="100" spans="3:21" x14ac:dyDescent="0.25">
      <c r="C100" s="44">
        <v>28906</v>
      </c>
      <c r="D100" s="45">
        <v>45379</v>
      </c>
      <c r="E100" s="46" t="s">
        <v>73</v>
      </c>
      <c r="F100" s="46" t="s">
        <v>45</v>
      </c>
      <c r="G100" s="49">
        <v>0.68937500000000007</v>
      </c>
      <c r="H100" s="47" t="s">
        <v>52</v>
      </c>
      <c r="I100" s="48"/>
      <c r="J100" s="54">
        <f t="shared" si="10"/>
        <v>3.1250000000004885E-4</v>
      </c>
      <c r="K100" s="55" t="str">
        <f t="shared" si="8"/>
        <v/>
      </c>
      <c r="M100" s="44"/>
      <c r="N100" s="45"/>
      <c r="O100" s="46"/>
      <c r="P100" s="46"/>
      <c r="Q100" s="47"/>
      <c r="R100" s="48"/>
      <c r="S100" s="46"/>
      <c r="T100" s="54">
        <f t="shared" si="9"/>
        <v>0</v>
      </c>
      <c r="U100" s="55" t="str">
        <f t="shared" si="7"/>
        <v/>
      </c>
    </row>
    <row r="101" spans="3:21" x14ac:dyDescent="0.25">
      <c r="C101" s="44">
        <v>28906</v>
      </c>
      <c r="D101" s="45">
        <v>45379</v>
      </c>
      <c r="E101" s="46" t="s">
        <v>67</v>
      </c>
      <c r="F101" s="46" t="s">
        <v>45</v>
      </c>
      <c r="G101" s="49">
        <v>0.69065972222222216</v>
      </c>
      <c r="H101" s="47" t="s">
        <v>47</v>
      </c>
      <c r="I101" s="48" t="s">
        <v>48</v>
      </c>
      <c r="J101" s="54">
        <f t="shared" si="10"/>
        <v>1.28472222222209E-3</v>
      </c>
      <c r="K101" s="55">
        <f t="shared" si="8"/>
        <v>1.28472222222209E-3</v>
      </c>
      <c r="M101" s="44"/>
      <c r="N101" s="45"/>
      <c r="O101" s="46"/>
      <c r="P101" s="46"/>
      <c r="Q101" s="47"/>
      <c r="R101" s="48"/>
      <c r="S101" s="46"/>
      <c r="T101" s="54">
        <f t="shared" si="9"/>
        <v>0</v>
      </c>
      <c r="U101" s="55" t="str">
        <f t="shared" si="7"/>
        <v/>
      </c>
    </row>
    <row r="102" spans="3:21" x14ac:dyDescent="0.25">
      <c r="C102" s="44">
        <v>28906</v>
      </c>
      <c r="D102" s="45">
        <v>45379</v>
      </c>
      <c r="E102" s="46" t="s">
        <v>67</v>
      </c>
      <c r="F102" s="46" t="s">
        <v>46</v>
      </c>
      <c r="G102" s="49">
        <v>0.71505787037037039</v>
      </c>
      <c r="H102" s="47" t="s">
        <v>47</v>
      </c>
      <c r="I102" s="48" t="s">
        <v>49</v>
      </c>
      <c r="J102" s="54">
        <f t="shared" si="10"/>
        <v>2.4398148148148224E-2</v>
      </c>
      <c r="K102" s="55">
        <f t="shared" si="8"/>
        <v>2.4398148148148224E-2</v>
      </c>
      <c r="M102" s="44"/>
      <c r="N102" s="45"/>
      <c r="O102" s="46"/>
      <c r="P102" s="46"/>
      <c r="Q102" s="47"/>
      <c r="R102" s="48"/>
      <c r="S102" s="46"/>
      <c r="T102" s="54">
        <f t="shared" si="9"/>
        <v>0</v>
      </c>
      <c r="U102" s="55" t="str">
        <f t="shared" si="7"/>
        <v/>
      </c>
    </row>
    <row r="103" spans="3:21" x14ac:dyDescent="0.25">
      <c r="C103" s="44">
        <v>28906</v>
      </c>
      <c r="D103" s="45">
        <v>45379</v>
      </c>
      <c r="E103" s="46" t="s">
        <v>66</v>
      </c>
      <c r="F103" s="46" t="s">
        <v>46</v>
      </c>
      <c r="G103" s="49">
        <v>0.71607638888888892</v>
      </c>
      <c r="H103" s="47" t="s">
        <v>52</v>
      </c>
      <c r="I103" s="48" t="s">
        <v>48</v>
      </c>
      <c r="J103" s="54">
        <f t="shared" si="10"/>
        <v>1.0185185185185297E-3</v>
      </c>
      <c r="K103" s="55">
        <f t="shared" si="8"/>
        <v>1.0185185185185297E-3</v>
      </c>
      <c r="M103" s="44"/>
      <c r="N103" s="45"/>
      <c r="O103" s="46"/>
      <c r="P103" s="46"/>
      <c r="Q103" s="47"/>
      <c r="R103" s="48"/>
      <c r="S103" s="46"/>
      <c r="T103" s="54">
        <f t="shared" si="9"/>
        <v>0</v>
      </c>
      <c r="U103" s="55" t="str">
        <f t="shared" si="7"/>
        <v/>
      </c>
    </row>
    <row r="104" spans="3:21" x14ac:dyDescent="0.25">
      <c r="C104" s="44">
        <v>28906</v>
      </c>
      <c r="D104" s="45">
        <v>45379</v>
      </c>
      <c r="E104" s="46" t="s">
        <v>65</v>
      </c>
      <c r="F104" s="46" t="s">
        <v>46</v>
      </c>
      <c r="G104" s="49">
        <v>0.73887731481481478</v>
      </c>
      <c r="H104" s="47" t="s">
        <v>68</v>
      </c>
      <c r="I104" s="48"/>
      <c r="J104" s="54">
        <f t="shared" si="10"/>
        <v>2.2800925925925863E-2</v>
      </c>
      <c r="K104" s="55" t="str">
        <f t="shared" si="8"/>
        <v/>
      </c>
      <c r="M104" s="44"/>
      <c r="N104" s="45"/>
      <c r="O104" s="46"/>
      <c r="P104" s="46"/>
      <c r="Q104" s="47"/>
      <c r="R104" s="48"/>
      <c r="S104" s="46"/>
      <c r="T104" s="54">
        <f t="shared" si="9"/>
        <v>0</v>
      </c>
      <c r="U104" s="55" t="str">
        <f t="shared" si="7"/>
        <v/>
      </c>
    </row>
    <row r="105" spans="3:21" x14ac:dyDescent="0.25">
      <c r="C105" s="44">
        <v>28906</v>
      </c>
      <c r="D105" s="45">
        <v>45379</v>
      </c>
      <c r="E105" s="46" t="s">
        <v>65</v>
      </c>
      <c r="F105" s="46" t="s">
        <v>45</v>
      </c>
      <c r="G105" s="49">
        <v>0.74059027777777775</v>
      </c>
      <c r="H105" s="47" t="s">
        <v>68</v>
      </c>
      <c r="I105" s="48"/>
      <c r="J105" s="54">
        <f t="shared" si="10"/>
        <v>1.7129629629629717E-3</v>
      </c>
      <c r="K105" s="55" t="str">
        <f t="shared" si="8"/>
        <v/>
      </c>
      <c r="M105" s="44"/>
      <c r="N105" s="45"/>
      <c r="O105" s="46"/>
      <c r="P105" s="46"/>
      <c r="Q105" s="47"/>
      <c r="R105" s="48"/>
      <c r="S105" s="46"/>
      <c r="T105" s="54">
        <f t="shared" si="9"/>
        <v>0</v>
      </c>
      <c r="U105" s="55" t="str">
        <f t="shared" si="7"/>
        <v/>
      </c>
    </row>
    <row r="106" spans="3:21" x14ac:dyDescent="0.25">
      <c r="C106" s="44">
        <v>28906</v>
      </c>
      <c r="D106" s="45">
        <v>45379</v>
      </c>
      <c r="E106" s="46" t="s">
        <v>66</v>
      </c>
      <c r="F106" s="46" t="s">
        <v>45</v>
      </c>
      <c r="G106" s="49">
        <v>0.7712500000000001</v>
      </c>
      <c r="H106" s="47" t="s">
        <v>52</v>
      </c>
      <c r="I106" s="48"/>
      <c r="J106" s="54">
        <f t="shared" si="10"/>
        <v>3.0659722222222352E-2</v>
      </c>
      <c r="K106" s="55" t="str">
        <f t="shared" si="8"/>
        <v/>
      </c>
      <c r="M106" s="44"/>
      <c r="N106" s="45"/>
      <c r="O106" s="46"/>
      <c r="P106" s="46"/>
      <c r="Q106" s="47"/>
      <c r="R106" s="48"/>
      <c r="S106" s="46"/>
      <c r="T106" s="54">
        <f t="shared" si="9"/>
        <v>0</v>
      </c>
      <c r="U106" s="55" t="str">
        <f t="shared" si="7"/>
        <v/>
      </c>
    </row>
    <row r="107" spans="3:21" x14ac:dyDescent="0.25">
      <c r="C107" s="44">
        <v>28906</v>
      </c>
      <c r="D107" s="45">
        <v>45379</v>
      </c>
      <c r="E107" s="46" t="s">
        <v>67</v>
      </c>
      <c r="F107" s="46" t="s">
        <v>45</v>
      </c>
      <c r="G107" s="49">
        <v>0.77217592592592599</v>
      </c>
      <c r="H107" s="47" t="s">
        <v>47</v>
      </c>
      <c r="I107" s="48" t="s">
        <v>48</v>
      </c>
      <c r="J107" s="54">
        <f t="shared" si="10"/>
        <v>9.2592592592588563E-4</v>
      </c>
      <c r="K107" s="55">
        <f t="shared" si="8"/>
        <v>9.2592592592588563E-4</v>
      </c>
      <c r="M107" s="44"/>
      <c r="N107" s="45"/>
      <c r="O107" s="46"/>
      <c r="P107" s="46"/>
      <c r="Q107" s="47"/>
      <c r="R107" s="48"/>
      <c r="S107" s="46"/>
      <c r="T107" s="54">
        <f t="shared" si="9"/>
        <v>0</v>
      </c>
      <c r="U107" s="55" t="str">
        <f t="shared" si="7"/>
        <v/>
      </c>
    </row>
    <row r="108" spans="3:21" x14ac:dyDescent="0.25">
      <c r="C108" s="44">
        <v>28906</v>
      </c>
      <c r="D108" s="45">
        <v>45379</v>
      </c>
      <c r="E108" s="46" t="s">
        <v>64</v>
      </c>
      <c r="F108" s="46" t="s">
        <v>46</v>
      </c>
      <c r="G108" s="49">
        <v>0.79660879629629633</v>
      </c>
      <c r="H108" s="47" t="s">
        <v>47</v>
      </c>
      <c r="I108" s="48" t="s">
        <v>49</v>
      </c>
      <c r="J108" s="54">
        <f t="shared" si="10"/>
        <v>2.4432870370370341E-2</v>
      </c>
      <c r="K108" s="55">
        <f t="shared" si="8"/>
        <v>2.4432870370370341E-2</v>
      </c>
      <c r="M108" s="44"/>
      <c r="N108" s="45"/>
      <c r="O108" s="46"/>
      <c r="P108" s="46"/>
      <c r="Q108" s="47"/>
      <c r="R108" s="48"/>
      <c r="S108" s="46"/>
      <c r="T108" s="54">
        <f>Q108-Q107</f>
        <v>0</v>
      </c>
      <c r="U108" s="55" t="str">
        <f t="shared" si="7"/>
        <v/>
      </c>
    </row>
    <row r="109" spans="3:21" x14ac:dyDescent="0.25">
      <c r="C109" s="44">
        <v>28906</v>
      </c>
      <c r="D109" s="45">
        <v>45379</v>
      </c>
      <c r="E109" s="46" t="s">
        <v>66</v>
      </c>
      <c r="F109" s="46" t="s">
        <v>46</v>
      </c>
      <c r="G109" s="49">
        <v>0.79748842592592595</v>
      </c>
      <c r="H109" s="47" t="s">
        <v>52</v>
      </c>
      <c r="I109" s="48" t="s">
        <v>48</v>
      </c>
      <c r="J109" s="54">
        <f t="shared" si="10"/>
        <v>8.796296296296191E-4</v>
      </c>
      <c r="K109" s="55">
        <f t="shared" si="8"/>
        <v>8.796296296296191E-4</v>
      </c>
      <c r="M109" s="44"/>
      <c r="N109" s="45"/>
      <c r="O109" s="46"/>
      <c r="P109" s="46"/>
      <c r="Q109" s="47"/>
      <c r="R109" s="48"/>
      <c r="S109" s="46"/>
      <c r="T109" s="54">
        <f t="shared" si="9"/>
        <v>0</v>
      </c>
      <c r="U109" s="55" t="str">
        <f t="shared" si="7"/>
        <v/>
      </c>
    </row>
    <row r="110" spans="3:21" x14ac:dyDescent="0.25">
      <c r="C110" s="44">
        <v>28906</v>
      </c>
      <c r="D110" s="45">
        <v>45379</v>
      </c>
      <c r="E110" s="46" t="s">
        <v>69</v>
      </c>
      <c r="F110" s="46" t="s">
        <v>45</v>
      </c>
      <c r="G110" s="49">
        <v>0.79774305555555547</v>
      </c>
      <c r="H110" s="47" t="s">
        <v>52</v>
      </c>
      <c r="I110" s="48"/>
      <c r="J110" s="54">
        <f t="shared" si="10"/>
        <v>2.546296296295214E-4</v>
      </c>
      <c r="K110" s="55" t="str">
        <f t="shared" si="8"/>
        <v/>
      </c>
      <c r="M110" s="44"/>
      <c r="N110" s="45"/>
      <c r="O110" s="46"/>
      <c r="P110" s="46"/>
      <c r="Q110" s="47"/>
      <c r="R110" s="48"/>
      <c r="S110" s="46"/>
      <c r="T110" s="54">
        <f t="shared" si="9"/>
        <v>0</v>
      </c>
      <c r="U110" s="55" t="str">
        <f t="shared" si="7"/>
        <v/>
      </c>
    </row>
    <row r="111" spans="3:21" x14ac:dyDescent="0.25">
      <c r="C111" s="44">
        <v>28906</v>
      </c>
      <c r="D111" s="45">
        <v>45379</v>
      </c>
      <c r="E111" s="46" t="s">
        <v>70</v>
      </c>
      <c r="F111" s="46" t="s">
        <v>45</v>
      </c>
      <c r="G111" s="49">
        <v>0.79790509259259268</v>
      </c>
      <c r="H111" s="47" t="s">
        <v>47</v>
      </c>
      <c r="I111" s="48" t="s">
        <v>48</v>
      </c>
      <c r="J111" s="54">
        <f t="shared" si="10"/>
        <v>1.620370370372104E-4</v>
      </c>
      <c r="K111" s="55">
        <f t="shared" si="8"/>
        <v>1.620370370372104E-4</v>
      </c>
      <c r="M111" s="44"/>
      <c r="N111" s="45"/>
      <c r="O111" s="46"/>
      <c r="P111" s="46"/>
      <c r="Q111" s="47"/>
      <c r="R111" s="48"/>
      <c r="S111" s="46"/>
      <c r="T111" s="54">
        <f t="shared" si="9"/>
        <v>0</v>
      </c>
      <c r="U111" s="55" t="str">
        <f t="shared" si="7"/>
        <v/>
      </c>
    </row>
    <row r="112" spans="3:21" x14ac:dyDescent="0.25">
      <c r="C112" s="44">
        <v>28906</v>
      </c>
      <c r="D112" s="45">
        <v>45379</v>
      </c>
      <c r="E112" s="46" t="s">
        <v>70</v>
      </c>
      <c r="F112" s="46" t="s">
        <v>46</v>
      </c>
      <c r="G112" s="49">
        <v>0.81416666666666659</v>
      </c>
      <c r="H112" s="47" t="s">
        <v>47</v>
      </c>
      <c r="I112" s="48" t="s">
        <v>49</v>
      </c>
      <c r="J112" s="54">
        <f t="shared" si="10"/>
        <v>1.6261574074073915E-2</v>
      </c>
      <c r="K112" s="55">
        <f t="shared" si="8"/>
        <v>1.6261574074073915E-2</v>
      </c>
      <c r="M112" s="44"/>
      <c r="N112" s="45"/>
      <c r="O112" s="46"/>
      <c r="P112" s="46"/>
      <c r="Q112" s="47"/>
      <c r="R112" s="48"/>
      <c r="S112" s="46"/>
      <c r="T112" s="54">
        <f t="shared" si="9"/>
        <v>0</v>
      </c>
      <c r="U112" s="55" t="str">
        <f t="shared" si="7"/>
        <v/>
      </c>
    </row>
    <row r="113" spans="3:21" x14ac:dyDescent="0.25">
      <c r="C113" s="44">
        <v>28906</v>
      </c>
      <c r="D113" s="45">
        <v>45379</v>
      </c>
      <c r="E113" s="46" t="s">
        <v>69</v>
      </c>
      <c r="F113" s="46" t="s">
        <v>46</v>
      </c>
      <c r="G113" s="49">
        <v>0.81431712962962965</v>
      </c>
      <c r="H113" s="47" t="s">
        <v>52</v>
      </c>
      <c r="I113" s="48" t="s">
        <v>48</v>
      </c>
      <c r="J113" s="54">
        <f t="shared" si="10"/>
        <v>1.504629629630605E-4</v>
      </c>
      <c r="K113" s="55">
        <f t="shared" si="8"/>
        <v>1.504629629630605E-4</v>
      </c>
      <c r="M113" s="44"/>
      <c r="N113" s="45"/>
      <c r="O113" s="46"/>
      <c r="P113" s="46"/>
      <c r="Q113" s="47"/>
      <c r="R113" s="48"/>
      <c r="S113" s="46"/>
      <c r="T113" s="54">
        <f t="shared" si="9"/>
        <v>0</v>
      </c>
      <c r="U113" s="55" t="str">
        <f t="shared" si="7"/>
        <v/>
      </c>
    </row>
    <row r="114" spans="3:21" x14ac:dyDescent="0.25">
      <c r="C114" s="44">
        <v>28906</v>
      </c>
      <c r="D114" s="45">
        <v>45379</v>
      </c>
      <c r="E114" s="46" t="s">
        <v>65</v>
      </c>
      <c r="F114" s="46" t="s">
        <v>46</v>
      </c>
      <c r="G114" s="49">
        <v>0.8156944444444445</v>
      </c>
      <c r="H114" s="47" t="s">
        <v>68</v>
      </c>
      <c r="I114" s="48"/>
      <c r="J114" s="54">
        <f t="shared" si="10"/>
        <v>1.3773148148148451E-3</v>
      </c>
      <c r="K114" s="55" t="str">
        <f t="shared" si="8"/>
        <v/>
      </c>
      <c r="M114" s="44"/>
      <c r="N114" s="45"/>
      <c r="O114" s="46"/>
      <c r="P114" s="46"/>
      <c r="Q114" s="47"/>
      <c r="R114" s="48"/>
      <c r="S114" s="46"/>
      <c r="T114" s="54">
        <f t="shared" si="9"/>
        <v>0</v>
      </c>
      <c r="U114" s="55" t="str">
        <f t="shared" si="7"/>
        <v/>
      </c>
    </row>
    <row r="115" spans="3:21" x14ac:dyDescent="0.25">
      <c r="C115" s="44"/>
      <c r="D115" s="45"/>
      <c r="E115" s="46"/>
      <c r="F115" s="46"/>
      <c r="G115" s="49"/>
      <c r="H115" s="47"/>
      <c r="I115" s="48"/>
      <c r="J115" s="54">
        <f t="shared" si="10"/>
        <v>-0.8156944444444445</v>
      </c>
      <c r="K115" s="55" t="str">
        <f t="shared" si="8"/>
        <v/>
      </c>
      <c r="M115" s="44"/>
      <c r="N115" s="45"/>
      <c r="O115" s="46"/>
      <c r="P115" s="46"/>
      <c r="Q115" s="47"/>
      <c r="R115" s="48"/>
      <c r="S115" s="46"/>
      <c r="T115" s="54">
        <f t="shared" si="9"/>
        <v>0</v>
      </c>
      <c r="U115" s="55" t="str">
        <f t="shared" si="7"/>
        <v/>
      </c>
    </row>
    <row r="116" spans="3:21" x14ac:dyDescent="0.25">
      <c r="C116" s="44"/>
      <c r="D116" s="45"/>
      <c r="E116" s="46"/>
      <c r="F116" s="46"/>
      <c r="G116" s="49"/>
      <c r="H116" s="47"/>
      <c r="I116" s="48"/>
      <c r="J116" s="54">
        <f t="shared" si="10"/>
        <v>0</v>
      </c>
      <c r="K116" s="55" t="str">
        <f t="shared" si="8"/>
        <v/>
      </c>
      <c r="M116" s="44"/>
      <c r="N116" s="45"/>
      <c r="O116" s="46"/>
      <c r="P116" s="46"/>
      <c r="Q116" s="47"/>
      <c r="R116" s="48"/>
      <c r="S116" s="46"/>
      <c r="T116" s="54">
        <f t="shared" si="9"/>
        <v>0</v>
      </c>
      <c r="U116" s="55" t="str">
        <f t="shared" si="7"/>
        <v/>
      </c>
    </row>
    <row r="117" spans="3:21" x14ac:dyDescent="0.25">
      <c r="C117" s="44"/>
      <c r="D117" s="45"/>
      <c r="E117" s="46"/>
      <c r="F117" s="46"/>
      <c r="G117" s="49"/>
      <c r="H117" s="47"/>
      <c r="I117" s="48"/>
      <c r="J117" s="54">
        <f t="shared" si="10"/>
        <v>0</v>
      </c>
      <c r="K117" s="55" t="str">
        <f t="shared" si="8"/>
        <v/>
      </c>
      <c r="M117" s="44"/>
      <c r="N117" s="45"/>
      <c r="O117" s="46"/>
      <c r="P117" s="46"/>
      <c r="Q117" s="47"/>
      <c r="R117" s="48"/>
      <c r="S117" s="46"/>
      <c r="T117" s="54">
        <f t="shared" si="9"/>
        <v>0</v>
      </c>
      <c r="U117" s="55" t="str">
        <f t="shared" si="7"/>
        <v/>
      </c>
    </row>
    <row r="118" spans="3:21" x14ac:dyDescent="0.25">
      <c r="C118" s="44"/>
      <c r="D118" s="45"/>
      <c r="E118" s="46"/>
      <c r="F118" s="46"/>
      <c r="G118" s="49"/>
      <c r="H118" s="47"/>
      <c r="I118" s="48"/>
      <c r="J118" s="54">
        <f t="shared" si="10"/>
        <v>0</v>
      </c>
      <c r="K118" s="55" t="str">
        <f t="shared" si="8"/>
        <v/>
      </c>
      <c r="M118" s="44"/>
      <c r="N118" s="45"/>
      <c r="O118" s="46"/>
      <c r="P118" s="46"/>
      <c r="Q118" s="47"/>
      <c r="R118" s="48"/>
      <c r="S118" s="46"/>
      <c r="T118" s="54">
        <f t="shared" si="9"/>
        <v>0</v>
      </c>
      <c r="U118" s="55" t="str">
        <f t="shared" si="7"/>
        <v/>
      </c>
    </row>
    <row r="119" spans="3:21" x14ac:dyDescent="0.25">
      <c r="C119" s="44"/>
      <c r="D119" s="45"/>
      <c r="E119" s="46"/>
      <c r="F119" s="46"/>
      <c r="G119" s="49"/>
      <c r="H119" s="47"/>
      <c r="I119" s="48"/>
      <c r="J119" s="54">
        <f t="shared" si="10"/>
        <v>0</v>
      </c>
      <c r="K119" s="55" t="str">
        <f t="shared" si="8"/>
        <v/>
      </c>
      <c r="M119" s="44"/>
      <c r="N119" s="45"/>
      <c r="O119" s="46"/>
      <c r="P119" s="46"/>
      <c r="Q119" s="47"/>
      <c r="R119" s="48"/>
      <c r="S119" s="46"/>
      <c r="T119" s="54">
        <f t="shared" si="9"/>
        <v>0</v>
      </c>
      <c r="U119" s="55" t="str">
        <f t="shared" si="7"/>
        <v/>
      </c>
    </row>
    <row r="120" spans="3:21" x14ac:dyDescent="0.25">
      <c r="C120" s="44"/>
      <c r="D120" s="45"/>
      <c r="E120" s="46"/>
      <c r="F120" s="46"/>
      <c r="G120" s="49"/>
      <c r="H120" s="47"/>
      <c r="I120" s="48"/>
      <c r="J120" s="54">
        <f t="shared" si="10"/>
        <v>0</v>
      </c>
      <c r="K120" s="55" t="str">
        <f t="shared" si="8"/>
        <v/>
      </c>
      <c r="M120" s="44"/>
      <c r="N120" s="45"/>
      <c r="O120" s="46"/>
      <c r="P120" s="46"/>
      <c r="Q120" s="47"/>
      <c r="R120" s="48"/>
      <c r="S120" s="46"/>
      <c r="T120" s="54">
        <f t="shared" si="9"/>
        <v>0</v>
      </c>
      <c r="U120" s="55" t="str">
        <f t="shared" si="7"/>
        <v/>
      </c>
    </row>
    <row r="121" spans="3:21" x14ac:dyDescent="0.25">
      <c r="C121" s="44"/>
      <c r="D121" s="45"/>
      <c r="E121" s="46"/>
      <c r="F121" s="46"/>
      <c r="G121" s="49"/>
      <c r="H121" s="47"/>
      <c r="I121" s="48"/>
      <c r="J121" s="54">
        <f t="shared" si="10"/>
        <v>0</v>
      </c>
      <c r="K121" s="55" t="str">
        <f t="shared" si="8"/>
        <v/>
      </c>
      <c r="M121" s="44"/>
      <c r="N121" s="45"/>
      <c r="O121" s="46"/>
      <c r="P121" s="46"/>
      <c r="Q121" s="47"/>
      <c r="R121" s="48"/>
      <c r="S121" s="46"/>
      <c r="T121" s="54">
        <f t="shared" si="9"/>
        <v>0</v>
      </c>
      <c r="U121" s="55" t="str">
        <f t="shared" si="7"/>
        <v/>
      </c>
    </row>
    <row r="122" spans="3:21" x14ac:dyDescent="0.25">
      <c r="C122" s="44"/>
      <c r="D122" s="45"/>
      <c r="E122" s="46"/>
      <c r="F122" s="46"/>
      <c r="G122" s="49"/>
      <c r="H122" s="47"/>
      <c r="I122" s="48"/>
      <c r="J122" s="54">
        <f t="shared" si="10"/>
        <v>0</v>
      </c>
      <c r="K122" s="55" t="str">
        <f t="shared" si="8"/>
        <v/>
      </c>
      <c r="M122" s="44"/>
      <c r="N122" s="45"/>
      <c r="O122" s="46"/>
      <c r="P122" s="46"/>
      <c r="Q122" s="47"/>
      <c r="R122" s="48"/>
      <c r="S122" s="46"/>
      <c r="T122" s="54">
        <f t="shared" si="9"/>
        <v>0</v>
      </c>
      <c r="U122" s="55" t="str">
        <f t="shared" si="7"/>
        <v/>
      </c>
    </row>
    <row r="123" spans="3:21" x14ac:dyDescent="0.25">
      <c r="C123" s="44"/>
      <c r="D123" s="45"/>
      <c r="E123" s="46"/>
      <c r="F123" s="46"/>
      <c r="G123" s="49"/>
      <c r="H123" s="47"/>
      <c r="I123" s="48"/>
      <c r="J123" s="54">
        <f t="shared" si="10"/>
        <v>0</v>
      </c>
      <c r="K123" s="55" t="str">
        <f t="shared" si="8"/>
        <v/>
      </c>
      <c r="M123" s="44"/>
      <c r="N123" s="45"/>
      <c r="O123" s="46"/>
      <c r="P123" s="46"/>
      <c r="Q123" s="47"/>
      <c r="R123" s="48"/>
      <c r="S123" s="46"/>
      <c r="T123" s="54">
        <f t="shared" si="9"/>
        <v>0</v>
      </c>
      <c r="U123" s="55" t="str">
        <f t="shared" si="7"/>
        <v/>
      </c>
    </row>
    <row r="124" spans="3:21" x14ac:dyDescent="0.25">
      <c r="C124" s="44"/>
      <c r="D124" s="45"/>
      <c r="E124" s="46"/>
      <c r="F124" s="46"/>
      <c r="G124" s="49"/>
      <c r="H124" s="47"/>
      <c r="I124" s="48"/>
      <c r="J124" s="54">
        <f t="shared" si="10"/>
        <v>0</v>
      </c>
      <c r="K124" s="55" t="str">
        <f t="shared" si="8"/>
        <v/>
      </c>
      <c r="M124" s="44"/>
      <c r="N124" s="45"/>
      <c r="O124" s="46"/>
      <c r="P124" s="46"/>
      <c r="Q124" s="47"/>
      <c r="R124" s="48"/>
      <c r="S124" s="46"/>
      <c r="T124" s="54">
        <f t="shared" si="9"/>
        <v>0</v>
      </c>
      <c r="U124" s="55" t="str">
        <f t="shared" si="7"/>
        <v/>
      </c>
    </row>
    <row r="125" spans="3:21" x14ac:dyDescent="0.25">
      <c r="C125" s="44"/>
      <c r="D125" s="45"/>
      <c r="E125" s="46"/>
      <c r="F125" s="46"/>
      <c r="G125" s="49"/>
      <c r="H125" s="47"/>
      <c r="I125" s="48"/>
      <c r="J125" s="54">
        <f t="shared" si="10"/>
        <v>0</v>
      </c>
      <c r="K125" s="55" t="str">
        <f t="shared" si="8"/>
        <v/>
      </c>
      <c r="M125" s="44"/>
      <c r="N125" s="45"/>
      <c r="O125" s="46"/>
      <c r="P125" s="46"/>
      <c r="Q125" s="47"/>
      <c r="R125" s="48"/>
      <c r="S125" s="46"/>
      <c r="T125" s="54">
        <f t="shared" si="9"/>
        <v>0</v>
      </c>
      <c r="U125" s="55" t="str">
        <f t="shared" si="7"/>
        <v/>
      </c>
    </row>
    <row r="126" spans="3:21" x14ac:dyDescent="0.25">
      <c r="C126" s="44"/>
      <c r="D126" s="45"/>
      <c r="E126" s="46"/>
      <c r="F126" s="46"/>
      <c r="G126" s="49"/>
      <c r="H126" s="47"/>
      <c r="I126" s="48"/>
      <c r="J126" s="54">
        <f t="shared" si="10"/>
        <v>0</v>
      </c>
      <c r="K126" s="55" t="str">
        <f t="shared" si="8"/>
        <v/>
      </c>
      <c r="M126" s="44"/>
      <c r="N126" s="45"/>
      <c r="O126" s="46"/>
      <c r="P126" s="46"/>
      <c r="Q126" s="47"/>
      <c r="R126" s="48"/>
      <c r="S126" s="46"/>
      <c r="T126" s="54">
        <f t="shared" si="9"/>
        <v>0</v>
      </c>
      <c r="U126" s="55" t="str">
        <f t="shared" si="7"/>
        <v/>
      </c>
    </row>
    <row r="127" spans="3:21" x14ac:dyDescent="0.25">
      <c r="C127" s="44"/>
      <c r="D127" s="45"/>
      <c r="E127" s="46"/>
      <c r="F127" s="46"/>
      <c r="G127" s="49"/>
      <c r="H127" s="47"/>
      <c r="I127" s="48"/>
      <c r="J127" s="54">
        <f t="shared" si="10"/>
        <v>0</v>
      </c>
      <c r="K127" s="55" t="str">
        <f t="shared" si="8"/>
        <v/>
      </c>
      <c r="M127" s="44"/>
      <c r="N127" s="45"/>
      <c r="O127" s="46"/>
      <c r="P127" s="46"/>
      <c r="Q127" s="47"/>
      <c r="R127" s="48"/>
      <c r="S127" s="46"/>
      <c r="T127" s="54">
        <f t="shared" si="9"/>
        <v>0</v>
      </c>
      <c r="U127" s="55" t="str">
        <f t="shared" si="7"/>
        <v/>
      </c>
    </row>
    <row r="128" spans="3:21" x14ac:dyDescent="0.25">
      <c r="C128" s="44"/>
      <c r="D128" s="45"/>
      <c r="E128" s="46"/>
      <c r="F128" s="46"/>
      <c r="G128" s="49"/>
      <c r="H128" s="47"/>
      <c r="I128" s="48"/>
      <c r="J128" s="54">
        <f t="shared" si="10"/>
        <v>0</v>
      </c>
      <c r="K128" s="55" t="str">
        <f t="shared" si="8"/>
        <v/>
      </c>
      <c r="M128" s="44"/>
      <c r="N128" s="45"/>
      <c r="O128" s="46"/>
      <c r="P128" s="46"/>
      <c r="Q128" s="47"/>
      <c r="R128" s="48"/>
      <c r="S128" s="46"/>
      <c r="T128" s="54">
        <f t="shared" si="9"/>
        <v>0</v>
      </c>
      <c r="U128" s="55" t="str">
        <f t="shared" si="7"/>
        <v/>
      </c>
    </row>
    <row r="129" spans="3:21" x14ac:dyDescent="0.25">
      <c r="C129" s="44"/>
      <c r="D129" s="45"/>
      <c r="E129" s="46"/>
      <c r="F129" s="46"/>
      <c r="G129" s="49"/>
      <c r="H129" s="47"/>
      <c r="I129" s="48"/>
      <c r="J129" s="54">
        <f t="shared" si="10"/>
        <v>0</v>
      </c>
      <c r="K129" s="55" t="str">
        <f t="shared" si="8"/>
        <v/>
      </c>
      <c r="M129" s="44"/>
      <c r="N129" s="45"/>
      <c r="O129" s="46"/>
      <c r="P129" s="46"/>
      <c r="Q129" s="47"/>
      <c r="R129" s="48"/>
      <c r="S129" s="46"/>
      <c r="T129" s="54">
        <f t="shared" si="9"/>
        <v>0</v>
      </c>
      <c r="U129" s="55" t="str">
        <f t="shared" si="7"/>
        <v/>
      </c>
    </row>
    <row r="130" spans="3:21" x14ac:dyDescent="0.25">
      <c r="C130" s="44"/>
      <c r="D130" s="45"/>
      <c r="E130" s="46"/>
      <c r="F130" s="46"/>
      <c r="G130" s="49"/>
      <c r="H130" s="47"/>
      <c r="I130" s="48"/>
      <c r="J130" s="54">
        <f t="shared" si="10"/>
        <v>0</v>
      </c>
      <c r="K130" s="55" t="str">
        <f t="shared" ref="K130:K149" si="11">IF(OR(I130="WORK", I130="PLAY"),J130, "")</f>
        <v/>
      </c>
      <c r="M130" s="44"/>
      <c r="N130" s="45"/>
      <c r="O130" s="46"/>
      <c r="P130" s="46"/>
      <c r="Q130" s="47"/>
      <c r="R130" s="48"/>
      <c r="S130" s="46"/>
      <c r="T130" s="54">
        <f t="shared" si="9"/>
        <v>0</v>
      </c>
      <c r="U130" s="55" t="str">
        <f t="shared" si="7"/>
        <v/>
      </c>
    </row>
    <row r="131" spans="3:21" x14ac:dyDescent="0.25">
      <c r="C131" s="44"/>
      <c r="D131" s="45"/>
      <c r="E131" s="46"/>
      <c r="F131" s="46"/>
      <c r="G131" s="49"/>
      <c r="H131" s="47"/>
      <c r="I131" s="48"/>
      <c r="J131" s="54">
        <f t="shared" ref="J131:J148" si="12">G131-G130</f>
        <v>0</v>
      </c>
      <c r="K131" s="55" t="str">
        <f t="shared" si="11"/>
        <v/>
      </c>
      <c r="M131" s="44"/>
      <c r="N131" s="45"/>
      <c r="O131" s="46"/>
      <c r="P131" s="46"/>
      <c r="Q131" s="47"/>
      <c r="R131" s="48"/>
      <c r="S131" s="46"/>
      <c r="T131" s="54">
        <f t="shared" si="9"/>
        <v>0</v>
      </c>
      <c r="U131" s="55" t="str">
        <f t="shared" si="7"/>
        <v/>
      </c>
    </row>
    <row r="132" spans="3:21" x14ac:dyDescent="0.25">
      <c r="C132" s="44"/>
      <c r="D132" s="45"/>
      <c r="E132" s="46"/>
      <c r="F132" s="46"/>
      <c r="G132" s="49"/>
      <c r="H132" s="47"/>
      <c r="I132" s="48"/>
      <c r="J132" s="54">
        <f t="shared" si="12"/>
        <v>0</v>
      </c>
      <c r="K132" s="55" t="str">
        <f t="shared" si="11"/>
        <v/>
      </c>
      <c r="M132" s="44"/>
      <c r="N132" s="45"/>
      <c r="O132" s="46"/>
      <c r="P132" s="46"/>
      <c r="Q132" s="47"/>
      <c r="R132" s="48"/>
      <c r="S132" s="46"/>
      <c r="T132" s="54">
        <f t="shared" si="9"/>
        <v>0</v>
      </c>
      <c r="U132" s="55" t="str">
        <f t="shared" si="7"/>
        <v/>
      </c>
    </row>
    <row r="133" spans="3:21" x14ac:dyDescent="0.25">
      <c r="C133" s="44"/>
      <c r="D133" s="45"/>
      <c r="E133" s="46"/>
      <c r="F133" s="46"/>
      <c r="G133" s="49"/>
      <c r="H133" s="47"/>
      <c r="I133" s="48"/>
      <c r="J133" s="54">
        <f t="shared" si="12"/>
        <v>0</v>
      </c>
      <c r="K133" s="55" t="str">
        <f t="shared" si="11"/>
        <v/>
      </c>
      <c r="M133" s="44"/>
      <c r="N133" s="45"/>
      <c r="O133" s="46"/>
      <c r="P133" s="46"/>
      <c r="Q133" s="47"/>
      <c r="R133" s="48"/>
      <c r="S133" s="46"/>
      <c r="T133" s="54">
        <f t="shared" si="9"/>
        <v>0</v>
      </c>
      <c r="U133" s="55" t="str">
        <f t="shared" si="7"/>
        <v/>
      </c>
    </row>
    <row r="134" spans="3:21" x14ac:dyDescent="0.25">
      <c r="C134" s="44"/>
      <c r="D134" s="45"/>
      <c r="E134" s="46"/>
      <c r="F134" s="46"/>
      <c r="G134" s="49"/>
      <c r="H134" s="47"/>
      <c r="I134" s="48"/>
      <c r="J134" s="54">
        <f t="shared" si="12"/>
        <v>0</v>
      </c>
      <c r="K134" s="55" t="str">
        <f t="shared" si="11"/>
        <v/>
      </c>
      <c r="M134" s="44"/>
      <c r="N134" s="45"/>
      <c r="O134" s="46"/>
      <c r="P134" s="46"/>
      <c r="Q134" s="47"/>
      <c r="R134" s="48"/>
      <c r="S134" s="46"/>
      <c r="T134" s="54">
        <f t="shared" si="9"/>
        <v>0</v>
      </c>
      <c r="U134" s="55" t="str">
        <f t="shared" si="7"/>
        <v/>
      </c>
    </row>
    <row r="135" spans="3:21" x14ac:dyDescent="0.25">
      <c r="C135" s="44"/>
      <c r="D135" s="45"/>
      <c r="E135" s="46"/>
      <c r="F135" s="46"/>
      <c r="G135" s="49"/>
      <c r="H135" s="47"/>
      <c r="I135" s="48"/>
      <c r="J135" s="54">
        <f t="shared" si="12"/>
        <v>0</v>
      </c>
      <c r="K135" s="55" t="str">
        <f t="shared" si="11"/>
        <v/>
      </c>
      <c r="M135" s="44"/>
      <c r="N135" s="45"/>
      <c r="O135" s="46"/>
      <c r="P135" s="46"/>
      <c r="Q135" s="47"/>
      <c r="R135" s="48"/>
      <c r="S135" s="46"/>
      <c r="T135" s="54">
        <f t="shared" si="9"/>
        <v>0</v>
      </c>
      <c r="U135" s="55" t="str">
        <f t="shared" si="7"/>
        <v/>
      </c>
    </row>
    <row r="136" spans="3:21" x14ac:dyDescent="0.25">
      <c r="C136" s="44"/>
      <c r="D136" s="45"/>
      <c r="E136" s="46"/>
      <c r="F136" s="46"/>
      <c r="G136" s="49"/>
      <c r="H136" s="47"/>
      <c r="I136" s="48"/>
      <c r="J136" s="54">
        <f t="shared" si="12"/>
        <v>0</v>
      </c>
      <c r="K136" s="55" t="str">
        <f t="shared" si="11"/>
        <v/>
      </c>
      <c r="M136" s="44"/>
      <c r="N136" s="45"/>
      <c r="O136" s="46"/>
      <c r="P136" s="46"/>
      <c r="Q136" s="47"/>
      <c r="R136" s="48"/>
      <c r="S136" s="46"/>
      <c r="T136" s="54">
        <f t="shared" si="9"/>
        <v>0</v>
      </c>
      <c r="U136" s="55" t="str">
        <f t="shared" si="7"/>
        <v/>
      </c>
    </row>
    <row r="137" spans="3:21" x14ac:dyDescent="0.25">
      <c r="C137" s="44"/>
      <c r="D137" s="45"/>
      <c r="E137" s="46"/>
      <c r="F137" s="46"/>
      <c r="G137" s="49"/>
      <c r="H137" s="47"/>
      <c r="I137" s="48"/>
      <c r="J137" s="54">
        <f t="shared" si="12"/>
        <v>0</v>
      </c>
      <c r="K137" s="55" t="str">
        <f t="shared" si="11"/>
        <v/>
      </c>
      <c r="M137" s="44"/>
      <c r="N137" s="45"/>
      <c r="O137" s="46"/>
      <c r="P137" s="46"/>
      <c r="Q137" s="47"/>
      <c r="R137" s="48"/>
      <c r="S137" s="46"/>
      <c r="T137" s="54">
        <f t="shared" si="9"/>
        <v>0</v>
      </c>
      <c r="U137" s="55" t="str">
        <f t="shared" si="7"/>
        <v/>
      </c>
    </row>
    <row r="138" spans="3:21" x14ac:dyDescent="0.25">
      <c r="C138" s="44"/>
      <c r="D138" s="45"/>
      <c r="E138" s="46"/>
      <c r="F138" s="46"/>
      <c r="G138" s="49"/>
      <c r="H138" s="47"/>
      <c r="I138" s="48"/>
      <c r="J138" s="54">
        <f t="shared" si="12"/>
        <v>0</v>
      </c>
      <c r="K138" s="55" t="str">
        <f t="shared" si="11"/>
        <v/>
      </c>
      <c r="M138" s="44"/>
      <c r="N138" s="45"/>
      <c r="O138" s="46"/>
      <c r="P138" s="46"/>
      <c r="Q138" s="47"/>
      <c r="R138" s="48"/>
      <c r="S138" s="46"/>
      <c r="T138" s="54">
        <f t="shared" si="9"/>
        <v>0</v>
      </c>
      <c r="U138" s="55" t="str">
        <f t="shared" si="7"/>
        <v/>
      </c>
    </row>
    <row r="139" spans="3:21" x14ac:dyDescent="0.25">
      <c r="C139" s="44"/>
      <c r="D139" s="45"/>
      <c r="E139" s="46"/>
      <c r="F139" s="46"/>
      <c r="G139" s="49"/>
      <c r="H139" s="48"/>
      <c r="I139" s="48"/>
      <c r="J139" s="54">
        <f t="shared" si="12"/>
        <v>0</v>
      </c>
      <c r="K139" s="55" t="str">
        <f t="shared" si="11"/>
        <v/>
      </c>
      <c r="M139" s="44"/>
      <c r="N139" s="45"/>
      <c r="O139" s="46"/>
      <c r="P139" s="46"/>
      <c r="Q139" s="47"/>
      <c r="R139" s="48"/>
      <c r="S139" s="46"/>
      <c r="T139" s="54">
        <f t="shared" si="9"/>
        <v>0</v>
      </c>
      <c r="U139" s="55" t="str">
        <f t="shared" si="7"/>
        <v/>
      </c>
    </row>
    <row r="140" spans="3:21" x14ac:dyDescent="0.25">
      <c r="C140" s="44"/>
      <c r="D140" s="45"/>
      <c r="E140" s="46"/>
      <c r="F140" s="46"/>
      <c r="G140" s="49"/>
      <c r="H140" s="48"/>
      <c r="I140" s="48"/>
      <c r="J140" s="54">
        <f t="shared" si="12"/>
        <v>0</v>
      </c>
      <c r="K140" s="55" t="str">
        <f t="shared" si="11"/>
        <v/>
      </c>
      <c r="M140" s="44"/>
      <c r="N140" s="45"/>
      <c r="O140" s="46"/>
      <c r="P140" s="46"/>
      <c r="Q140" s="47"/>
      <c r="R140" s="48"/>
      <c r="S140" s="46"/>
      <c r="T140" s="54">
        <f t="shared" si="9"/>
        <v>0</v>
      </c>
      <c r="U140" s="55" t="str">
        <f t="shared" si="7"/>
        <v/>
      </c>
    </row>
    <row r="141" spans="3:21" x14ac:dyDescent="0.25">
      <c r="C141" s="44"/>
      <c r="D141" s="45"/>
      <c r="E141" s="46"/>
      <c r="F141" s="46"/>
      <c r="G141" s="49"/>
      <c r="H141" s="48"/>
      <c r="I141" s="48"/>
      <c r="J141" s="54">
        <f t="shared" si="12"/>
        <v>0</v>
      </c>
      <c r="K141" s="55" t="str">
        <f t="shared" si="11"/>
        <v/>
      </c>
      <c r="M141" s="44"/>
      <c r="N141" s="45"/>
      <c r="O141" s="46"/>
      <c r="P141" s="46"/>
      <c r="Q141" s="47"/>
      <c r="R141" s="48"/>
      <c r="S141" s="46"/>
      <c r="T141" s="54">
        <f t="shared" si="9"/>
        <v>0</v>
      </c>
      <c r="U141" s="55" t="str">
        <f t="shared" si="7"/>
        <v/>
      </c>
    </row>
    <row r="142" spans="3:21" x14ac:dyDescent="0.25">
      <c r="C142" s="44"/>
      <c r="D142" s="45"/>
      <c r="E142" s="46"/>
      <c r="F142" s="46"/>
      <c r="G142" s="49"/>
      <c r="H142" s="48"/>
      <c r="I142" s="48"/>
      <c r="J142" s="54">
        <f t="shared" si="12"/>
        <v>0</v>
      </c>
      <c r="K142" s="55" t="str">
        <f t="shared" si="11"/>
        <v/>
      </c>
      <c r="M142" s="44"/>
      <c r="N142" s="45"/>
      <c r="O142" s="46"/>
      <c r="P142" s="46"/>
      <c r="Q142" s="47"/>
      <c r="R142" s="48"/>
      <c r="S142" s="46"/>
      <c r="T142" s="54">
        <f t="shared" si="9"/>
        <v>0</v>
      </c>
      <c r="U142" s="55" t="str">
        <f t="shared" si="7"/>
        <v/>
      </c>
    </row>
    <row r="143" spans="3:21" x14ac:dyDescent="0.25">
      <c r="C143" s="44"/>
      <c r="D143" s="45"/>
      <c r="E143" s="46"/>
      <c r="F143" s="46"/>
      <c r="G143" s="49"/>
      <c r="H143" s="48"/>
      <c r="I143" s="48"/>
      <c r="J143" s="54">
        <f t="shared" si="12"/>
        <v>0</v>
      </c>
      <c r="K143" s="55" t="str">
        <f t="shared" si="11"/>
        <v/>
      </c>
      <c r="M143" s="44"/>
      <c r="N143" s="45"/>
      <c r="O143" s="46"/>
      <c r="P143" s="46"/>
      <c r="Q143" s="47"/>
      <c r="R143" s="48"/>
      <c r="S143" s="46"/>
      <c r="T143" s="54">
        <f t="shared" si="9"/>
        <v>0</v>
      </c>
      <c r="U143" s="55" t="str">
        <f t="shared" si="7"/>
        <v/>
      </c>
    </row>
    <row r="144" spans="3:21" x14ac:dyDescent="0.25">
      <c r="C144" s="44"/>
      <c r="D144" s="45"/>
      <c r="E144" s="46"/>
      <c r="F144" s="46"/>
      <c r="G144" s="49"/>
      <c r="H144" s="48"/>
      <c r="I144" s="48"/>
      <c r="J144" s="54">
        <f t="shared" si="12"/>
        <v>0</v>
      </c>
      <c r="K144" s="55" t="str">
        <f t="shared" si="11"/>
        <v/>
      </c>
      <c r="M144" s="44"/>
      <c r="N144" s="45"/>
      <c r="O144" s="46"/>
      <c r="P144" s="46"/>
      <c r="Q144" s="47"/>
      <c r="R144" s="48"/>
      <c r="S144" s="46"/>
      <c r="T144" s="54">
        <f t="shared" si="9"/>
        <v>0</v>
      </c>
      <c r="U144" s="55" t="str">
        <f t="shared" si="7"/>
        <v/>
      </c>
    </row>
    <row r="145" spans="3:21" x14ac:dyDescent="0.25">
      <c r="C145" s="44"/>
      <c r="D145" s="45"/>
      <c r="E145" s="46"/>
      <c r="F145" s="46"/>
      <c r="G145" s="49"/>
      <c r="H145" s="48"/>
      <c r="I145" s="48"/>
      <c r="J145" s="54">
        <f t="shared" si="12"/>
        <v>0</v>
      </c>
      <c r="K145" s="55" t="str">
        <f t="shared" si="11"/>
        <v/>
      </c>
      <c r="M145" s="44"/>
      <c r="N145" s="45"/>
      <c r="O145" s="46"/>
      <c r="P145" s="46"/>
      <c r="Q145" s="47"/>
      <c r="R145" s="48"/>
      <c r="S145" s="46"/>
      <c r="T145" s="54">
        <f t="shared" si="9"/>
        <v>0</v>
      </c>
      <c r="U145" s="55" t="str">
        <f t="shared" si="7"/>
        <v/>
      </c>
    </row>
    <row r="146" spans="3:21" x14ac:dyDescent="0.25">
      <c r="C146" s="44"/>
      <c r="D146" s="45"/>
      <c r="E146" s="46"/>
      <c r="F146" s="46"/>
      <c r="G146" s="49"/>
      <c r="H146" s="48"/>
      <c r="I146" s="48"/>
      <c r="J146" s="54">
        <f t="shared" si="12"/>
        <v>0</v>
      </c>
      <c r="K146" s="55" t="str">
        <f t="shared" si="11"/>
        <v/>
      </c>
      <c r="M146" s="44"/>
      <c r="N146" s="45"/>
      <c r="O146" s="46"/>
      <c r="P146" s="46"/>
      <c r="Q146" s="47"/>
      <c r="R146" s="48"/>
      <c r="S146" s="46"/>
      <c r="T146" s="54">
        <f t="shared" si="9"/>
        <v>0</v>
      </c>
      <c r="U146" s="55" t="str">
        <f t="shared" si="7"/>
        <v/>
      </c>
    </row>
    <row r="147" spans="3:21" x14ac:dyDescent="0.25">
      <c r="C147" s="44"/>
      <c r="D147" s="45"/>
      <c r="E147" s="46"/>
      <c r="F147" s="46"/>
      <c r="G147" s="49"/>
      <c r="H147" s="48"/>
      <c r="I147" s="48"/>
      <c r="J147" s="54">
        <f t="shared" si="12"/>
        <v>0</v>
      </c>
      <c r="K147" s="55" t="str">
        <f t="shared" si="11"/>
        <v/>
      </c>
      <c r="M147" s="44"/>
      <c r="N147" s="45"/>
      <c r="O147" s="46"/>
      <c r="P147" s="46"/>
      <c r="Q147" s="47"/>
      <c r="R147" s="48"/>
      <c r="S147" s="46"/>
      <c r="T147" s="54">
        <f t="shared" si="9"/>
        <v>0</v>
      </c>
      <c r="U147" s="55" t="str">
        <f t="shared" si="7"/>
        <v/>
      </c>
    </row>
    <row r="148" spans="3:21" x14ac:dyDescent="0.25">
      <c r="C148" s="44"/>
      <c r="D148" s="45"/>
      <c r="E148" s="46"/>
      <c r="F148" s="46"/>
      <c r="G148" s="49"/>
      <c r="H148" s="48"/>
      <c r="I148" s="48"/>
      <c r="J148" s="54">
        <f t="shared" si="12"/>
        <v>0</v>
      </c>
      <c r="K148" s="55" t="str">
        <f t="shared" si="11"/>
        <v/>
      </c>
      <c r="M148" s="44"/>
      <c r="N148" s="45"/>
      <c r="O148" s="46"/>
      <c r="P148" s="46"/>
      <c r="Q148" s="47"/>
      <c r="R148" s="48"/>
      <c r="S148" s="46"/>
      <c r="T148" s="54">
        <f t="shared" si="9"/>
        <v>0</v>
      </c>
      <c r="U148" s="55" t="str">
        <f t="shared" ref="U148:U154" si="13">IF(OR(S148="WORK", S148="PLAY"), T148, "")</f>
        <v/>
      </c>
    </row>
    <row r="149" spans="3:21" ht="15.75" thickBot="1" x14ac:dyDescent="0.3">
      <c r="C149" s="50"/>
      <c r="D149" s="122"/>
      <c r="E149" s="51"/>
      <c r="F149" s="51"/>
      <c r="G149" s="123"/>
      <c r="H149" s="52"/>
      <c r="I149" s="52"/>
      <c r="J149" s="54">
        <f t="shared" ref="J149" si="14">G149-G148</f>
        <v>0</v>
      </c>
      <c r="K149" s="55" t="str">
        <f t="shared" si="11"/>
        <v/>
      </c>
      <c r="M149" s="50"/>
      <c r="N149" s="122"/>
      <c r="O149" s="51"/>
      <c r="P149" s="51"/>
      <c r="Q149" s="126"/>
      <c r="R149" s="52"/>
      <c r="S149" s="51"/>
      <c r="T149" s="54">
        <f t="shared" ref="T149:T154" si="15">Q149-Q148</f>
        <v>0</v>
      </c>
      <c r="U149" s="55" t="str">
        <f t="shared" si="13"/>
        <v/>
      </c>
    </row>
    <row r="150" spans="3:21" x14ac:dyDescent="0.25">
      <c r="D150" s="124"/>
      <c r="G150" s="1"/>
      <c r="J150" s="54"/>
      <c r="K150" s="55"/>
      <c r="N150" s="124"/>
      <c r="Q150" s="1"/>
      <c r="T150" s="54">
        <f t="shared" si="15"/>
        <v>0</v>
      </c>
      <c r="U150" s="55" t="str">
        <f t="shared" si="13"/>
        <v/>
      </c>
    </row>
    <row r="151" spans="3:21" x14ac:dyDescent="0.25">
      <c r="D151" s="124"/>
      <c r="G151" s="1"/>
      <c r="J151" s="54"/>
      <c r="K151" s="55"/>
      <c r="N151" s="124"/>
      <c r="Q151" s="1"/>
      <c r="T151" s="54">
        <f t="shared" si="15"/>
        <v>0</v>
      </c>
      <c r="U151" s="55" t="str">
        <f t="shared" si="13"/>
        <v/>
      </c>
    </row>
    <row r="152" spans="3:21" x14ac:dyDescent="0.25">
      <c r="D152" s="124"/>
      <c r="G152" s="1"/>
      <c r="J152" s="54"/>
      <c r="K152" s="55"/>
      <c r="N152" s="124"/>
      <c r="Q152" s="1"/>
      <c r="T152" s="54">
        <f t="shared" si="15"/>
        <v>0</v>
      </c>
      <c r="U152" s="55" t="str">
        <f t="shared" si="13"/>
        <v/>
      </c>
    </row>
    <row r="153" spans="3:21" x14ac:dyDescent="0.25">
      <c r="D153" s="124"/>
      <c r="G153" s="1"/>
      <c r="J153" s="54"/>
      <c r="K153" s="55"/>
      <c r="N153" s="124"/>
      <c r="Q153" s="1"/>
      <c r="T153" s="54">
        <f t="shared" si="15"/>
        <v>0</v>
      </c>
      <c r="U153" s="55" t="str">
        <f t="shared" si="13"/>
        <v/>
      </c>
    </row>
    <row r="154" spans="3:21" x14ac:dyDescent="0.25">
      <c r="D154" s="124"/>
      <c r="G154" s="1"/>
      <c r="J154" s="54"/>
      <c r="K154" s="55"/>
      <c r="N154" s="124"/>
      <c r="Q154" s="1"/>
      <c r="T154" s="54">
        <f t="shared" si="15"/>
        <v>0</v>
      </c>
      <c r="U154" s="55" t="str">
        <f t="shared" si="13"/>
        <v/>
      </c>
    </row>
    <row r="155" spans="3:21" x14ac:dyDescent="0.25">
      <c r="D155" s="124"/>
      <c r="G155" s="1"/>
      <c r="J155" s="54"/>
      <c r="K155" s="55"/>
      <c r="N155" s="124"/>
      <c r="Q155" s="1"/>
    </row>
    <row r="156" spans="3:21" x14ac:dyDescent="0.25">
      <c r="D156" s="124"/>
      <c r="G156" s="1"/>
      <c r="J156" s="54"/>
      <c r="K156" s="55"/>
      <c r="N156" s="124"/>
      <c r="Q156" s="1"/>
    </row>
    <row r="157" spans="3:21" x14ac:dyDescent="0.25">
      <c r="D157" s="124"/>
      <c r="G157" s="1"/>
      <c r="J157" s="54"/>
      <c r="K157" s="55"/>
      <c r="N157" s="124"/>
      <c r="Q157" s="1"/>
    </row>
    <row r="158" spans="3:21" x14ac:dyDescent="0.25">
      <c r="D158" s="124"/>
      <c r="G158" s="1"/>
      <c r="J158" s="54"/>
      <c r="K158" s="55"/>
      <c r="Q158" s="1"/>
    </row>
    <row r="159" spans="3:21" x14ac:dyDescent="0.25">
      <c r="D159" s="124"/>
      <c r="G159" s="1"/>
      <c r="J159" s="54"/>
      <c r="K159" s="55"/>
    </row>
    <row r="160" spans="3:21" x14ac:dyDescent="0.25">
      <c r="D160" s="124"/>
      <c r="G160" s="1"/>
      <c r="J160" s="54"/>
      <c r="K160" s="55"/>
    </row>
    <row r="161" spans="1:11" x14ac:dyDescent="0.25">
      <c r="D161" s="124"/>
      <c r="G161" s="1"/>
      <c r="H161" s="3"/>
      <c r="J161" s="54"/>
      <c r="K161" s="55"/>
    </row>
    <row r="162" spans="1:11" ht="15.75" thickBot="1" x14ac:dyDescent="0.3">
      <c r="D162" s="124"/>
      <c r="G162" s="1"/>
      <c r="J162" s="54"/>
      <c r="K162" s="55"/>
    </row>
    <row r="163" spans="1:11" x14ac:dyDescent="0.25">
      <c r="A163" s="6" t="s">
        <v>32</v>
      </c>
      <c r="B163" s="7"/>
      <c r="D163" s="124"/>
      <c r="G163" s="1"/>
      <c r="J163" s="54"/>
      <c r="K163" s="55"/>
    </row>
    <row r="164" spans="1:11" x14ac:dyDescent="0.25">
      <c r="A164" s="8" t="s">
        <v>43</v>
      </c>
      <c r="B164" s="24">
        <f>NETWORKDAYS(MIN($H$5:$H$39),MAX($H$5:$H$39))</f>
        <v>22</v>
      </c>
      <c r="D164" s="124"/>
      <c r="G164" s="1"/>
      <c r="J164" s="54"/>
      <c r="K164" s="55"/>
    </row>
    <row r="165" spans="1:11" x14ac:dyDescent="0.25">
      <c r="A165" s="8" t="s">
        <v>21</v>
      </c>
      <c r="B165" s="9">
        <v>0.33333333333333331</v>
      </c>
      <c r="D165" s="124"/>
      <c r="G165" s="1"/>
      <c r="J165" s="54"/>
      <c r="K165" s="55"/>
    </row>
    <row r="166" spans="1:11" x14ac:dyDescent="0.25">
      <c r="A166" s="8" t="s">
        <v>22</v>
      </c>
      <c r="B166" s="10">
        <f>B164*B165</f>
        <v>7.333333333333333</v>
      </c>
      <c r="D166" s="124"/>
      <c r="G166" s="1"/>
      <c r="J166" s="54"/>
      <c r="K166" s="55"/>
    </row>
    <row r="167" spans="1:11" x14ac:dyDescent="0.25">
      <c r="A167" s="8"/>
      <c r="B167" s="4"/>
      <c r="J167" s="54"/>
      <c r="K167" s="55"/>
    </row>
    <row r="168" spans="1:11" ht="15.75" thickBot="1" x14ac:dyDescent="0.3">
      <c r="A168" s="11"/>
      <c r="B168" s="5"/>
      <c r="J168" s="54"/>
      <c r="K168" s="55"/>
    </row>
    <row r="169" spans="1:11" x14ac:dyDescent="0.25">
      <c r="J169" s="54"/>
      <c r="K169" s="55"/>
    </row>
    <row r="170" spans="1:11" x14ac:dyDescent="0.25">
      <c r="J170" s="54"/>
    </row>
    <row r="171" spans="1:11" ht="15.75" thickBot="1" x14ac:dyDescent="0.3"/>
    <row r="172" spans="1:11" x14ac:dyDescent="0.25">
      <c r="A172" s="6" t="s">
        <v>33</v>
      </c>
      <c r="B172" s="7"/>
    </row>
    <row r="173" spans="1:11" x14ac:dyDescent="0.25">
      <c r="A173" s="8" t="s">
        <v>4</v>
      </c>
      <c r="B173" s="4">
        <v>28906</v>
      </c>
    </row>
    <row r="174" spans="1:11" x14ac:dyDescent="0.25">
      <c r="A174" s="8" t="s">
        <v>5</v>
      </c>
      <c r="B174" s="12" t="s">
        <v>53</v>
      </c>
    </row>
    <row r="175" spans="1:11" x14ac:dyDescent="0.25">
      <c r="A175" s="8" t="s">
        <v>39</v>
      </c>
      <c r="B175" s="12" t="s">
        <v>55</v>
      </c>
      <c r="F175" s="102" t="s">
        <v>54</v>
      </c>
    </row>
    <row r="176" spans="1:11" x14ac:dyDescent="0.25">
      <c r="A176" s="8"/>
      <c r="F176" s="12" t="s">
        <v>55</v>
      </c>
    </row>
    <row r="177" spans="1:12" x14ac:dyDescent="0.25">
      <c r="A177" s="8" t="s">
        <v>35</v>
      </c>
      <c r="B177" s="4" t="s">
        <v>0</v>
      </c>
    </row>
    <row r="178" spans="1:12" x14ac:dyDescent="0.25">
      <c r="A178" s="8" t="s">
        <v>36</v>
      </c>
      <c r="B178" s="4" t="s">
        <v>56</v>
      </c>
      <c r="L178" t="s">
        <v>58</v>
      </c>
    </row>
    <row r="179" spans="1:12" x14ac:dyDescent="0.25">
      <c r="A179" s="8" t="s">
        <v>6</v>
      </c>
      <c r="B179" s="4" t="s">
        <v>57</v>
      </c>
    </row>
    <row r="180" spans="1:12" x14ac:dyDescent="0.25">
      <c r="A180" s="8"/>
      <c r="B180" s="4"/>
    </row>
    <row r="181" spans="1:12" x14ac:dyDescent="0.25">
      <c r="A181" s="14" t="s">
        <v>7</v>
      </c>
      <c r="B181" s="15">
        <v>37</v>
      </c>
    </row>
    <row r="182" spans="1:12" x14ac:dyDescent="0.25">
      <c r="A182" s="14" t="s">
        <v>8</v>
      </c>
      <c r="B182" s="15">
        <v>10</v>
      </c>
    </row>
    <row r="183" spans="1:12" x14ac:dyDescent="0.25">
      <c r="A183" s="14" t="s">
        <v>9</v>
      </c>
      <c r="B183" s="15">
        <v>20</v>
      </c>
    </row>
    <row r="184" spans="1:12" x14ac:dyDescent="0.25">
      <c r="A184" s="8"/>
      <c r="B184" s="4"/>
    </row>
    <row r="185" spans="1:12" x14ac:dyDescent="0.25">
      <c r="A185" s="8" t="s">
        <v>1</v>
      </c>
      <c r="B185" s="4">
        <v>35</v>
      </c>
    </row>
    <row r="186" spans="1:12" x14ac:dyDescent="0.25">
      <c r="A186" s="8" t="s">
        <v>2</v>
      </c>
      <c r="B186" s="4">
        <v>37</v>
      </c>
    </row>
    <row r="187" spans="1:12" x14ac:dyDescent="0.25">
      <c r="A187" s="8" t="s">
        <v>3</v>
      </c>
      <c r="B187" s="4">
        <v>1</v>
      </c>
    </row>
    <row r="188" spans="1:12" x14ac:dyDescent="0.25">
      <c r="A188" s="8"/>
      <c r="B188" s="4"/>
    </row>
    <row r="189" spans="1:12" x14ac:dyDescent="0.25">
      <c r="A189" s="8"/>
      <c r="B189" s="4"/>
    </row>
    <row r="190" spans="1:12" ht="15.75" thickBot="1" x14ac:dyDescent="0.3">
      <c r="A190" s="13" t="s">
        <v>34</v>
      </c>
      <c r="B190" s="5"/>
    </row>
  </sheetData>
  <dataConsolidate/>
  <conditionalFormatting sqref="F5:F39 L5:L39">
    <cfRule type="expression" dxfId="7" priority="21">
      <formula>ISNUMBER(SEARCH("Week",$F5))=TRUE</formula>
    </cfRule>
  </conditionalFormatting>
  <conditionalFormatting sqref="K3">
    <cfRule type="expression" dxfId="6" priority="16" stopIfTrue="1">
      <formula>"$L$2&gt;0"</formula>
    </cfRule>
    <cfRule type="expression" dxfId="5" priority="17">
      <formula>$L$2&lt;0</formula>
    </cfRule>
  </conditionalFormatting>
  <conditionalFormatting sqref="M8">
    <cfRule type="expression" dxfId="4" priority="9">
      <formula>ISNUMBER(SEARCH("Week",$F8))=TRUE</formula>
    </cfRule>
  </conditionalFormatting>
  <conditionalFormatting sqref="M6:M7">
    <cfRule type="expression" dxfId="3" priority="8">
      <formula>ISNUMBER(SEARCH("Week",$F6))=TRUE</formula>
    </cfRule>
  </conditionalFormatting>
  <conditionalFormatting sqref="M9:M37">
    <cfRule type="expression" dxfId="2" priority="7">
      <formula>ISNUMBER(SEARCH("Week",$F9))=TRUE</formula>
    </cfRule>
  </conditionalFormatting>
  <conditionalFormatting sqref="M3">
    <cfRule type="expression" dxfId="1" priority="5" stopIfTrue="1">
      <formula>"$L$2&gt;0"</formula>
    </cfRule>
    <cfRule type="expression" dxfId="0" priority="6">
      <formula>$L$2&lt;0</formula>
    </cfRule>
  </conditionalFormatting>
  <hyperlinks>
    <hyperlink ref="B174" r:id="rId1"/>
    <hyperlink ref="F175" r:id="rId2"/>
    <hyperlink ref="F176" r:id="rId3"/>
    <hyperlink ref="B175" r:id="rId4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"/>
  <sheetViews>
    <sheetView zoomScale="85" zoomScaleNormal="85" workbookViewId="0">
      <selection activeCell="C11" sqref="C11"/>
    </sheetView>
  </sheetViews>
  <sheetFormatPr defaultRowHeight="15" x14ac:dyDescent="0.25"/>
  <cols>
    <col min="1" max="1" width="46.5703125" customWidth="1"/>
    <col min="2" max="2" width="27.140625" customWidth="1"/>
    <col min="3" max="3" width="17.85546875" customWidth="1"/>
    <col min="4" max="4" width="44.42578125" customWidth="1"/>
    <col min="5" max="5" width="28.5703125" customWidth="1"/>
  </cols>
  <sheetData>
    <row r="1" spans="1:5" ht="15.75" x14ac:dyDescent="0.25">
      <c r="A1" s="132" t="s">
        <v>61</v>
      </c>
      <c r="B1" s="131" t="s">
        <v>59</v>
      </c>
      <c r="C1" s="132" t="s">
        <v>62</v>
      </c>
      <c r="D1" s="131" t="s">
        <v>60</v>
      </c>
      <c r="E1" t="s">
        <v>63</v>
      </c>
    </row>
    <row r="2" spans="1:5" ht="64.5" x14ac:dyDescent="0.95">
      <c r="A2" s="133">
        <f>Sheet2!Q65</f>
        <v>0.44097222222222227</v>
      </c>
      <c r="B2" s="135">
        <f>Sheet2!U64</f>
        <v>0.26168981481481485</v>
      </c>
      <c r="C2" s="18" t="s">
        <v>41</v>
      </c>
      <c r="D2" s="134">
        <f ca="1">Sheet2!M52</f>
        <v>45383.841543287039</v>
      </c>
      <c r="E2" s="13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295275</xdr:colOff>
                <xdr:row>1</xdr:row>
                <xdr:rowOff>19050</xdr:rowOff>
              </from>
              <to>
                <xdr:col>2</xdr:col>
                <xdr:colOff>904875</xdr:colOff>
                <xdr:row>1</xdr:row>
                <xdr:rowOff>428625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MinReport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A. Jain</dc:creator>
  <cp:lastModifiedBy>Saadkhan Hamidkhan Pathan</cp:lastModifiedBy>
  <dcterms:created xsi:type="dcterms:W3CDTF">2006-09-16T00:00:00Z</dcterms:created>
  <dcterms:modified xsi:type="dcterms:W3CDTF">2024-04-01T12:59:12Z</dcterms:modified>
</cp:coreProperties>
</file>